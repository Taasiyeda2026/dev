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dan\Downloads\"/>
    </mc:Choice>
  </mc:AlternateContent>
  <xr:revisionPtr revIDLastSave="0" documentId="13_ncr:1_{5D07D460-102C-460C-9110-1E8DAA8ECF8C}" xr6:coauthVersionLast="47" xr6:coauthVersionMax="47" xr10:uidLastSave="{00000000-0000-0000-0000-000000000000}"/>
  <bookViews>
    <workbookView xWindow="-106" yWindow="-106" windowWidth="18768" windowHeight="9944" xr2:uid="{00000000-000D-0000-FFFF-FFFF00000000}"/>
  </bookViews>
  <sheets>
    <sheet name="הגדרות" sheetId="1" r:id="rId1"/>
    <sheet name="הוצאות" sheetId="2" r:id="rId2"/>
    <sheet name="גיול" sheetId="3" r:id="rId3"/>
    <sheet name="הוצאותמסודר" sheetId="4" r:id="rId4"/>
    <sheet name="תזרים" sheetId="5" r:id="rId5"/>
    <sheet name="סיכום" sheetId="6" r:id="rId6"/>
    <sheet name="רשימות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1" i="1"/>
  <c r="E23" i="1"/>
  <c r="E25" i="1"/>
  <c r="E17" i="1"/>
  <c r="E15" i="1"/>
  <c r="I6" i="1"/>
  <c r="I4" i="1"/>
  <c r="I10" i="1"/>
  <c r="I8" i="1"/>
  <c r="I12" i="1"/>
  <c r="I14" i="1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10" i="6"/>
  <c r="F10" i="6"/>
  <c r="E10" i="6"/>
  <c r="D10" i="6"/>
  <c r="C10" i="6"/>
  <c r="B10" i="6"/>
  <c r="H10" i="6" s="1"/>
  <c r="G9" i="6"/>
  <c r="F9" i="6"/>
  <c r="E9" i="6"/>
  <c r="D9" i="6"/>
  <c r="C9" i="6"/>
  <c r="B9" i="6"/>
  <c r="H9" i="6" s="1"/>
  <c r="G8" i="6"/>
  <c r="F8" i="6"/>
  <c r="E8" i="6"/>
  <c r="D8" i="6"/>
  <c r="C8" i="6"/>
  <c r="B8" i="6"/>
  <c r="H8" i="6" s="1"/>
  <c r="G7" i="6"/>
  <c r="F7" i="6"/>
  <c r="E7" i="6"/>
  <c r="D7" i="6"/>
  <c r="C7" i="6"/>
  <c r="B7" i="6"/>
  <c r="H7" i="6" s="1"/>
  <c r="G6" i="6"/>
  <c r="F6" i="6"/>
  <c r="E6" i="6"/>
  <c r="D6" i="6"/>
  <c r="C6" i="6"/>
  <c r="B6" i="6"/>
  <c r="H6" i="6" s="1"/>
  <c r="G5" i="6"/>
  <c r="F5" i="6"/>
  <c r="E5" i="6"/>
  <c r="D5" i="6"/>
  <c r="C5" i="6"/>
  <c r="B5" i="6"/>
  <c r="H5" i="6" s="1"/>
  <c r="H4" i="6"/>
  <c r="G4" i="6"/>
  <c r="F4" i="6"/>
  <c r="E4" i="6"/>
  <c r="D4" i="6"/>
  <c r="C4" i="6"/>
  <c r="B4" i="6"/>
  <c r="G3" i="6"/>
  <c r="F3" i="6"/>
  <c r="E3" i="6"/>
  <c r="D3" i="6"/>
  <c r="C3" i="6"/>
  <c r="H3" i="6" s="1"/>
  <c r="B3" i="6"/>
  <c r="G2" i="6"/>
  <c r="G11" i="6" s="1"/>
  <c r="F2" i="6"/>
  <c r="F11" i="6" s="1"/>
  <c r="E2" i="6"/>
  <c r="E11" i="6" s="1"/>
  <c r="D2" i="6"/>
  <c r="D11" i="6" s="1"/>
  <c r="C2" i="6"/>
  <c r="C11" i="6" s="1"/>
  <c r="B2" i="6"/>
  <c r="B11" i="6" s="1"/>
  <c r="D185" i="5"/>
  <c r="B185" i="5"/>
  <c r="D184" i="5"/>
  <c r="B184" i="5"/>
  <c r="D183" i="5"/>
  <c r="B183" i="5"/>
  <c r="D182" i="5"/>
  <c r="B182" i="5"/>
  <c r="D181" i="5"/>
  <c r="B181" i="5"/>
  <c r="D180" i="5"/>
  <c r="B180" i="5"/>
  <c r="D179" i="5"/>
  <c r="B179" i="5"/>
  <c r="D178" i="5"/>
  <c r="B178" i="5"/>
  <c r="D177" i="5"/>
  <c r="B177" i="5"/>
  <c r="D176" i="5"/>
  <c r="B176" i="5"/>
  <c r="D175" i="5"/>
  <c r="B175" i="5"/>
  <c r="D174" i="5"/>
  <c r="B174" i="5"/>
  <c r="D173" i="5"/>
  <c r="B173" i="5"/>
  <c r="D172" i="5"/>
  <c r="B172" i="5"/>
  <c r="D171" i="5"/>
  <c r="B171" i="5"/>
  <c r="D170" i="5"/>
  <c r="B170" i="5"/>
  <c r="D169" i="5"/>
  <c r="B169" i="5"/>
  <c r="D168" i="5"/>
  <c r="B168" i="5"/>
  <c r="D167" i="5"/>
  <c r="B167" i="5"/>
  <c r="D166" i="5"/>
  <c r="B166" i="5"/>
  <c r="D165" i="5"/>
  <c r="B165" i="5"/>
  <c r="D164" i="5"/>
  <c r="B164" i="5"/>
  <c r="D163" i="5"/>
  <c r="B163" i="5"/>
  <c r="D162" i="5"/>
  <c r="B162" i="5"/>
  <c r="D161" i="5"/>
  <c r="B161" i="5"/>
  <c r="D160" i="5"/>
  <c r="B160" i="5"/>
  <c r="D159" i="5"/>
  <c r="B159" i="5"/>
  <c r="D158" i="5"/>
  <c r="B158" i="5"/>
  <c r="D157" i="5"/>
  <c r="B157" i="5"/>
  <c r="D156" i="5"/>
  <c r="B156" i="5"/>
  <c r="D155" i="5"/>
  <c r="B155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8" i="5"/>
  <c r="B148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1" i="5"/>
  <c r="B141" i="5"/>
  <c r="D140" i="5"/>
  <c r="B140" i="5"/>
  <c r="D139" i="5"/>
  <c r="B139" i="5"/>
  <c r="D138" i="5"/>
  <c r="B138" i="5"/>
  <c r="D137" i="5"/>
  <c r="B137" i="5"/>
  <c r="D136" i="5"/>
  <c r="B136" i="5"/>
  <c r="D135" i="5"/>
  <c r="B135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7" i="5"/>
  <c r="B127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20" i="5"/>
  <c r="B120" i="5"/>
  <c r="D119" i="5"/>
  <c r="B119" i="5"/>
  <c r="D118" i="5"/>
  <c r="B118" i="5"/>
  <c r="D117" i="5"/>
  <c r="B117" i="5"/>
  <c r="D116" i="5"/>
  <c r="B116" i="5"/>
  <c r="D115" i="5"/>
  <c r="B115" i="5"/>
  <c r="D114" i="5"/>
  <c r="B114" i="5"/>
  <c r="D113" i="5"/>
  <c r="B113" i="5"/>
  <c r="D112" i="5"/>
  <c r="B112" i="5"/>
  <c r="D111" i="5"/>
  <c r="B111" i="5"/>
  <c r="D110" i="5"/>
  <c r="B110" i="5"/>
  <c r="D109" i="5"/>
  <c r="B109" i="5"/>
  <c r="D108" i="5"/>
  <c r="B108" i="5"/>
  <c r="D107" i="5"/>
  <c r="B107" i="5"/>
  <c r="D106" i="5"/>
  <c r="B106" i="5"/>
  <c r="D105" i="5"/>
  <c r="B105" i="5"/>
  <c r="D104" i="5"/>
  <c r="B104" i="5"/>
  <c r="D103" i="5"/>
  <c r="B103" i="5"/>
  <c r="D102" i="5"/>
  <c r="B102" i="5"/>
  <c r="D101" i="5"/>
  <c r="B101" i="5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9" i="5"/>
  <c r="B59" i="5"/>
  <c r="D58" i="5"/>
  <c r="B58" i="5"/>
  <c r="D57" i="5"/>
  <c r="B57" i="5"/>
  <c r="D56" i="5"/>
  <c r="B56" i="5"/>
  <c r="D55" i="5"/>
  <c r="B55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2" i="5"/>
  <c r="B2" i="5"/>
  <c r="A2" i="5" a="1"/>
  <c r="A172" i="5" s="1"/>
  <c r="F128" i="4"/>
  <c r="E128" i="4"/>
  <c r="D128" i="4"/>
  <c r="C128" i="4"/>
  <c r="B128" i="4"/>
  <c r="A128" i="4"/>
  <c r="F127" i="4"/>
  <c r="E127" i="4"/>
  <c r="D127" i="4"/>
  <c r="C127" i="4"/>
  <c r="B127" i="4"/>
  <c r="A127" i="4"/>
  <c r="F126" i="4"/>
  <c r="E126" i="4"/>
  <c r="D126" i="4"/>
  <c r="C126" i="4"/>
  <c r="B126" i="4"/>
  <c r="A126" i="4"/>
  <c r="F125" i="4"/>
  <c r="E125" i="4"/>
  <c r="D125" i="4"/>
  <c r="C125" i="4"/>
  <c r="B125" i="4"/>
  <c r="A125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F122" i="4"/>
  <c r="E122" i="4"/>
  <c r="D122" i="4"/>
  <c r="C122" i="4"/>
  <c r="B122" i="4"/>
  <c r="A122" i="4"/>
  <c r="F121" i="4"/>
  <c r="E121" i="4"/>
  <c r="D121" i="4"/>
  <c r="C121" i="4"/>
  <c r="B121" i="4"/>
  <c r="A121" i="4"/>
  <c r="F120" i="4"/>
  <c r="E120" i="4"/>
  <c r="D120" i="4"/>
  <c r="C120" i="4"/>
  <c r="B120" i="4"/>
  <c r="A120" i="4"/>
  <c r="F119" i="4"/>
  <c r="E119" i="4"/>
  <c r="D119" i="4"/>
  <c r="C119" i="4"/>
  <c r="B119" i="4"/>
  <c r="A119" i="4"/>
  <c r="F118" i="4"/>
  <c r="E118" i="4"/>
  <c r="D118" i="4"/>
  <c r="C118" i="4"/>
  <c r="B118" i="4"/>
  <c r="A118" i="4"/>
  <c r="F117" i="4"/>
  <c r="E117" i="4"/>
  <c r="D117" i="4"/>
  <c r="C117" i="4"/>
  <c r="B117" i="4"/>
  <c r="A117" i="4"/>
  <c r="F116" i="4"/>
  <c r="E116" i="4"/>
  <c r="D116" i="4"/>
  <c r="C116" i="4"/>
  <c r="B116" i="4"/>
  <c r="A116" i="4"/>
  <c r="F115" i="4"/>
  <c r="E115" i="4"/>
  <c r="G115" i="4" s="1"/>
  <c r="D115" i="4"/>
  <c r="C115" i="4"/>
  <c r="B115" i="4"/>
  <c r="A115" i="4"/>
  <c r="F114" i="4"/>
  <c r="E114" i="4"/>
  <c r="D114" i="4"/>
  <c r="C114" i="4"/>
  <c r="B114" i="4"/>
  <c r="A114" i="4"/>
  <c r="F113" i="4"/>
  <c r="E113" i="4"/>
  <c r="D113" i="4"/>
  <c r="C113" i="4"/>
  <c r="B113" i="4"/>
  <c r="A113" i="4"/>
  <c r="F112" i="4"/>
  <c r="E112" i="4"/>
  <c r="G112" i="4" s="1"/>
  <c r="D112" i="4"/>
  <c r="C112" i="4"/>
  <c r="B112" i="4"/>
  <c r="A112" i="4"/>
  <c r="F111" i="4"/>
  <c r="E111" i="4"/>
  <c r="G111" i="4" s="1"/>
  <c r="D111" i="4"/>
  <c r="C111" i="4"/>
  <c r="B111" i="4"/>
  <c r="A111" i="4"/>
  <c r="F110" i="4"/>
  <c r="E110" i="4"/>
  <c r="D110" i="4"/>
  <c r="C110" i="4"/>
  <c r="B110" i="4"/>
  <c r="A110" i="4"/>
  <c r="F109" i="4"/>
  <c r="E109" i="4"/>
  <c r="D109" i="4"/>
  <c r="C109" i="4"/>
  <c r="B109" i="4"/>
  <c r="A109" i="4"/>
  <c r="F108" i="4"/>
  <c r="E108" i="4"/>
  <c r="D108" i="4"/>
  <c r="C108" i="4"/>
  <c r="B108" i="4"/>
  <c r="A108" i="4"/>
  <c r="F107" i="4"/>
  <c r="E107" i="4"/>
  <c r="D107" i="4"/>
  <c r="C107" i="4"/>
  <c r="B107" i="4"/>
  <c r="A107" i="4"/>
  <c r="F106" i="4"/>
  <c r="E106" i="4"/>
  <c r="D106" i="4"/>
  <c r="C106" i="4"/>
  <c r="B106" i="4"/>
  <c r="A106" i="4"/>
  <c r="F105" i="4"/>
  <c r="E105" i="4"/>
  <c r="D105" i="4"/>
  <c r="C105" i="4"/>
  <c r="B105" i="4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F102" i="4"/>
  <c r="E102" i="4"/>
  <c r="D102" i="4"/>
  <c r="C102" i="4"/>
  <c r="B102" i="4"/>
  <c r="A102" i="4"/>
  <c r="F101" i="4"/>
  <c r="E101" i="4"/>
  <c r="D101" i="4"/>
  <c r="C101" i="4"/>
  <c r="B101" i="4"/>
  <c r="A101" i="4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G95" i="4" s="1"/>
  <c r="D95" i="4"/>
  <c r="C95" i="4"/>
  <c r="B95" i="4"/>
  <c r="A95" i="4"/>
  <c r="F94" i="4"/>
  <c r="E94" i="4"/>
  <c r="G94" i="4" s="1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G91" i="4" s="1"/>
  <c r="D91" i="4"/>
  <c r="C91" i="4"/>
  <c r="B91" i="4"/>
  <c r="A91" i="4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B82" i="4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G73" i="4" s="1"/>
  <c r="D73" i="4"/>
  <c r="C73" i="4"/>
  <c r="B73" i="4"/>
  <c r="A73" i="4"/>
  <c r="F72" i="4"/>
  <c r="E72" i="4"/>
  <c r="G72" i="4" s="1"/>
  <c r="D72" i="4"/>
  <c r="C72" i="4"/>
  <c r="B72" i="4"/>
  <c r="A72" i="4"/>
  <c r="F71" i="4"/>
  <c r="E71" i="4"/>
  <c r="G71" i="4" s="1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A68" i="4"/>
  <c r="F67" i="4"/>
  <c r="E67" i="4"/>
  <c r="D67" i="4"/>
  <c r="C67" i="4"/>
  <c r="B67" i="4"/>
  <c r="A67" i="4"/>
  <c r="F66" i="4"/>
  <c r="E66" i="4"/>
  <c r="D66" i="4"/>
  <c r="C66" i="4"/>
  <c r="B66" i="4"/>
  <c r="A66" i="4"/>
  <c r="F65" i="4"/>
  <c r="E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F60" i="4"/>
  <c r="E60" i="4"/>
  <c r="D60" i="4"/>
  <c r="C60" i="4"/>
  <c r="B60" i="4"/>
  <c r="A60" i="4"/>
  <c r="F59" i="4"/>
  <c r="E59" i="4"/>
  <c r="D59" i="4"/>
  <c r="C59" i="4"/>
  <c r="B59" i="4"/>
  <c r="A59" i="4"/>
  <c r="F58" i="4"/>
  <c r="E58" i="4"/>
  <c r="D58" i="4"/>
  <c r="C58" i="4"/>
  <c r="B58" i="4"/>
  <c r="A58" i="4"/>
  <c r="F57" i="4"/>
  <c r="E57" i="4"/>
  <c r="D57" i="4"/>
  <c r="C57" i="4"/>
  <c r="B57" i="4"/>
  <c r="A57" i="4"/>
  <c r="F56" i="4"/>
  <c r="E56" i="4"/>
  <c r="D56" i="4"/>
  <c r="C56" i="4"/>
  <c r="B56" i="4"/>
  <c r="A56" i="4"/>
  <c r="F55" i="4"/>
  <c r="E55" i="4"/>
  <c r="D55" i="4"/>
  <c r="C55" i="4"/>
  <c r="B55" i="4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F52" i="4"/>
  <c r="E52" i="4"/>
  <c r="G52" i="4" s="1"/>
  <c r="D52" i="4"/>
  <c r="C52" i="4"/>
  <c r="B52" i="4"/>
  <c r="A52" i="4"/>
  <c r="F51" i="4"/>
  <c r="E51" i="4"/>
  <c r="G51" i="4" s="1"/>
  <c r="D51" i="4"/>
  <c r="C51" i="4"/>
  <c r="B51" i="4"/>
  <c r="A51" i="4"/>
  <c r="F50" i="4"/>
  <c r="E50" i="4"/>
  <c r="D50" i="4"/>
  <c r="C50" i="4"/>
  <c r="B50" i="4"/>
  <c r="A50" i="4"/>
  <c r="F49" i="4"/>
  <c r="E49" i="4"/>
  <c r="G49" i="4" s="1"/>
  <c r="D49" i="4"/>
  <c r="C49" i="4"/>
  <c r="B49" i="4"/>
  <c r="A49" i="4"/>
  <c r="F48" i="4"/>
  <c r="E48" i="4"/>
  <c r="D48" i="4"/>
  <c r="C48" i="4"/>
  <c r="B48" i="4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A41" i="4"/>
  <c r="F40" i="4"/>
  <c r="E40" i="4"/>
  <c r="D40" i="4"/>
  <c r="C40" i="4"/>
  <c r="B40" i="4"/>
  <c r="A40" i="4"/>
  <c r="F39" i="4"/>
  <c r="E39" i="4"/>
  <c r="D39" i="4"/>
  <c r="C39" i="4"/>
  <c r="B39" i="4"/>
  <c r="A39" i="4"/>
  <c r="F38" i="4"/>
  <c r="E38" i="4"/>
  <c r="D38" i="4"/>
  <c r="C38" i="4"/>
  <c r="B38" i="4"/>
  <c r="A38" i="4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G34" i="4" s="1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G31" i="4" s="1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G28" i="4" s="1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G12" i="4" s="1"/>
  <c r="D12" i="4"/>
  <c r="C12" i="4"/>
  <c r="B12" i="4"/>
  <c r="A12" i="4"/>
  <c r="F11" i="4"/>
  <c r="E11" i="4"/>
  <c r="G11" i="4" s="1"/>
  <c r="D11" i="4"/>
  <c r="C11" i="4"/>
  <c r="B11" i="4"/>
  <c r="A11" i="4"/>
  <c r="F10" i="4"/>
  <c r="E10" i="4"/>
  <c r="G10" i="4" s="1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3" i="4"/>
  <c r="E3" i="4"/>
  <c r="D3" i="4"/>
  <c r="C3" i="4"/>
  <c r="B3" i="4"/>
  <c r="A3" i="4"/>
  <c r="G988" i="4"/>
  <c r="G979" i="4"/>
  <c r="G955" i="4"/>
  <c r="G946" i="4"/>
  <c r="G922" i="4"/>
  <c r="G916" i="4"/>
  <c r="G892" i="4"/>
  <c r="G883" i="4"/>
  <c r="G859" i="4"/>
  <c r="G850" i="4"/>
  <c r="G826" i="4"/>
  <c r="G820" i="4"/>
  <c r="G796" i="4"/>
  <c r="G790" i="4"/>
  <c r="G764" i="4"/>
  <c r="G763" i="4"/>
  <c r="G736" i="4"/>
  <c r="G735" i="4"/>
  <c r="G706" i="4"/>
  <c r="G705" i="4"/>
  <c r="G678" i="4"/>
  <c r="G677" i="4"/>
  <c r="G649" i="4"/>
  <c r="G647" i="4"/>
  <c r="G621" i="4"/>
  <c r="G620" i="4"/>
  <c r="G619" i="4"/>
  <c r="G593" i="4"/>
  <c r="G592" i="4"/>
  <c r="G591" i="4"/>
  <c r="G565" i="4"/>
  <c r="G563" i="4"/>
  <c r="G562" i="4"/>
  <c r="G539" i="4"/>
  <c r="G538" i="4"/>
  <c r="G536" i="4"/>
  <c r="G519" i="4"/>
  <c r="G514" i="4"/>
  <c r="G511" i="4"/>
  <c r="G491" i="4"/>
  <c r="G490" i="4"/>
  <c r="G489" i="4"/>
  <c r="G466" i="4"/>
  <c r="G464" i="4"/>
  <c r="G463" i="4"/>
  <c r="G442" i="4"/>
  <c r="G439" i="4"/>
  <c r="G438" i="4"/>
  <c r="G418" i="4"/>
  <c r="G417" i="4"/>
  <c r="G414" i="4"/>
  <c r="G392" i="4"/>
  <c r="G391" i="4"/>
  <c r="G390" i="4"/>
  <c r="G367" i="4"/>
  <c r="G366" i="4"/>
  <c r="G364" i="4"/>
  <c r="G345" i="4"/>
  <c r="G342" i="4"/>
  <c r="G339" i="4"/>
  <c r="G319" i="4"/>
  <c r="G318" i="4"/>
  <c r="G317" i="4"/>
  <c r="G294" i="4"/>
  <c r="G292" i="4"/>
  <c r="G291" i="4"/>
  <c r="G270" i="4"/>
  <c r="G267" i="4"/>
  <c r="G265" i="4"/>
  <c r="G246" i="4"/>
  <c r="G245" i="4"/>
  <c r="G241" i="4"/>
  <c r="G221" i="4"/>
  <c r="G220" i="4"/>
  <c r="G219" i="4"/>
  <c r="G198" i="4"/>
  <c r="G197" i="4"/>
  <c r="G195" i="4"/>
  <c r="G178" i="4"/>
  <c r="G175" i="4"/>
  <c r="G172" i="4"/>
  <c r="G156" i="4"/>
  <c r="G155" i="4"/>
  <c r="G154" i="4"/>
  <c r="G135" i="4"/>
  <c r="G133" i="4"/>
  <c r="G132" i="4"/>
  <c r="F2" i="4"/>
  <c r="E2" i="4"/>
  <c r="G2" i="4" s="1" a="1"/>
  <c r="G994" i="4" s="1"/>
  <c r="D2" i="4"/>
  <c r="C2" i="4"/>
  <c r="B2" i="4"/>
  <c r="A2" i="4"/>
  <c r="A32" i="5" l="1"/>
  <c r="A146" i="5"/>
  <c r="A105" i="5"/>
  <c r="A3" i="5"/>
  <c r="A118" i="5"/>
  <c r="A4" i="5"/>
  <c r="A119" i="5"/>
  <c r="A33" i="5"/>
  <c r="A147" i="5"/>
  <c r="A40" i="5"/>
  <c r="A154" i="5"/>
  <c r="A47" i="5"/>
  <c r="A161" i="5"/>
  <c r="A60" i="5"/>
  <c r="A175" i="5"/>
  <c r="A61" i="5"/>
  <c r="A176" i="5"/>
  <c r="A88" i="5"/>
  <c r="A89" i="5"/>
  <c r="A97" i="5"/>
  <c r="A46" i="5"/>
  <c r="A103" i="5"/>
  <c r="A160" i="5"/>
  <c r="A55" i="5"/>
  <c r="A111" i="5"/>
  <c r="A168" i="5"/>
  <c r="A11" i="5"/>
  <c r="A69" i="5"/>
  <c r="A125" i="5"/>
  <c r="A183" i="5"/>
  <c r="A17" i="5"/>
  <c r="A74" i="5"/>
  <c r="A132" i="5"/>
  <c r="A19" i="5"/>
  <c r="A75" i="5"/>
  <c r="A133" i="5"/>
  <c r="A26" i="5"/>
  <c r="A83" i="5"/>
  <c r="A140" i="5"/>
  <c r="G3" i="4"/>
  <c r="G24" i="4"/>
  <c r="G46" i="4"/>
  <c r="G64" i="4"/>
  <c r="G85" i="4"/>
  <c r="G107" i="4"/>
  <c r="G127" i="4"/>
  <c r="G147" i="4"/>
  <c r="G168" i="4"/>
  <c r="G191" i="4"/>
  <c r="G211" i="4"/>
  <c r="G234" i="4"/>
  <c r="G260" i="4"/>
  <c r="G284" i="4"/>
  <c r="G308" i="4"/>
  <c r="G333" i="4"/>
  <c r="G359" i="4"/>
  <c r="G381" i="4"/>
  <c r="G406" i="4"/>
  <c r="G433" i="4"/>
  <c r="G457" i="4"/>
  <c r="G481" i="4"/>
  <c r="G507" i="4"/>
  <c r="G533" i="4"/>
  <c r="G555" i="4"/>
  <c r="G580" i="4"/>
  <c r="G608" i="4"/>
  <c r="G637" i="4"/>
  <c r="G666" i="4"/>
  <c r="G694" i="4"/>
  <c r="G724" i="4"/>
  <c r="G752" i="4"/>
  <c r="G784" i="4"/>
  <c r="G813" i="4"/>
  <c r="G846" i="4"/>
  <c r="G879" i="4"/>
  <c r="G909" i="4"/>
  <c r="G942" i="4"/>
  <c r="G975" i="4"/>
  <c r="G4" i="4"/>
  <c r="G67" i="4"/>
  <c r="G108" i="4"/>
  <c r="G148" i="4"/>
  <c r="G192" i="4"/>
  <c r="G236" i="4"/>
  <c r="G287" i="4"/>
  <c r="G309" i="4"/>
  <c r="G361" i="4"/>
  <c r="G385" i="4"/>
  <c r="G409" i="4"/>
  <c r="G435" i="4"/>
  <c r="G461" i="4"/>
  <c r="G483" i="4"/>
  <c r="G508" i="4"/>
  <c r="G534" i="4"/>
  <c r="G558" i="4"/>
  <c r="G582" i="4"/>
  <c r="G610" i="4"/>
  <c r="G640" i="4"/>
  <c r="G668" i="4"/>
  <c r="G697" i="4"/>
  <c r="G726" i="4"/>
  <c r="G754" i="4"/>
  <c r="G786" i="4"/>
  <c r="G814" i="4"/>
  <c r="G847" i="4"/>
  <c r="G880" i="4"/>
  <c r="G910" i="4"/>
  <c r="G943" i="4"/>
  <c r="G976" i="4"/>
  <c r="G25" i="4"/>
  <c r="G47" i="4"/>
  <c r="G87" i="4"/>
  <c r="G130" i="4"/>
  <c r="G169" i="4"/>
  <c r="G214" i="4"/>
  <c r="G261" i="4"/>
  <c r="G334" i="4"/>
  <c r="G7" i="4"/>
  <c r="G27" i="4"/>
  <c r="G48" i="4"/>
  <c r="G70" i="4"/>
  <c r="G88" i="4"/>
  <c r="G109" i="4"/>
  <c r="G131" i="4"/>
  <c r="G151" i="4"/>
  <c r="G171" i="4"/>
  <c r="G193" i="4"/>
  <c r="G217" i="4"/>
  <c r="G237" i="4"/>
  <c r="G262" i="4"/>
  <c r="G289" i="4"/>
  <c r="G313" i="4"/>
  <c r="G337" i="4"/>
  <c r="G363" i="4"/>
  <c r="G389" i="4"/>
  <c r="G411" i="4"/>
  <c r="G436" i="4"/>
  <c r="G462" i="4"/>
  <c r="G486" i="4"/>
  <c r="G510" i="4"/>
  <c r="G535" i="4"/>
  <c r="G561" i="4"/>
  <c r="G583" i="4"/>
  <c r="G611" i="4"/>
  <c r="G641" i="4"/>
  <c r="G669" i="4"/>
  <c r="G699" i="4"/>
  <c r="G727" i="4"/>
  <c r="G755" i="4"/>
  <c r="G787" i="4"/>
  <c r="G819" i="4"/>
  <c r="G849" i="4"/>
  <c r="G882" i="4"/>
  <c r="G915" i="4"/>
  <c r="G945" i="4"/>
  <c r="G978" i="4"/>
  <c r="G157" i="4"/>
  <c r="G419" i="4"/>
  <c r="G652" i="4"/>
  <c r="G894" i="4"/>
  <c r="G15" i="4"/>
  <c r="G36" i="4"/>
  <c r="G58" i="4"/>
  <c r="G76" i="4"/>
  <c r="G97" i="4"/>
  <c r="G119" i="4"/>
  <c r="G139" i="4"/>
  <c r="G159" i="4"/>
  <c r="G180" i="4"/>
  <c r="G204" i="4"/>
  <c r="G224" i="4"/>
  <c r="G248" i="4"/>
  <c r="G274" i="4"/>
  <c r="G298" i="4"/>
  <c r="G322" i="4"/>
  <c r="G347" i="4"/>
  <c r="G375" i="4"/>
  <c r="G395" i="4"/>
  <c r="G421" i="4"/>
  <c r="G448" i="4"/>
  <c r="G472" i="4"/>
  <c r="G496" i="4"/>
  <c r="G521" i="4"/>
  <c r="G547" i="4"/>
  <c r="G569" i="4"/>
  <c r="G596" i="4"/>
  <c r="G625" i="4"/>
  <c r="G654" i="4"/>
  <c r="G682" i="4"/>
  <c r="G712" i="4"/>
  <c r="G740" i="4"/>
  <c r="G771" i="4"/>
  <c r="G799" i="4"/>
  <c r="G832" i="4"/>
  <c r="G862" i="4"/>
  <c r="G895" i="4"/>
  <c r="G928" i="4"/>
  <c r="G958" i="4"/>
  <c r="G991" i="4"/>
  <c r="G96" i="4"/>
  <c r="G320" i="4"/>
  <c r="G544" i="4"/>
  <c r="G798" i="4"/>
  <c r="G79" i="4"/>
  <c r="G160" i="4"/>
  <c r="G227" i="4"/>
  <c r="G250" i="4"/>
  <c r="G303" i="4"/>
  <c r="G323" i="4"/>
  <c r="G349" i="4"/>
  <c r="G376" i="4"/>
  <c r="G400" i="4"/>
  <c r="G424" i="4"/>
  <c r="G449" i="4"/>
  <c r="G475" i="4"/>
  <c r="G497" i="4"/>
  <c r="G522" i="4"/>
  <c r="G548" i="4"/>
  <c r="G572" i="4"/>
  <c r="G597" i="4"/>
  <c r="G627" i="4"/>
  <c r="G655" i="4"/>
  <c r="G683" i="4"/>
  <c r="G713" i="4"/>
  <c r="G741" i="4"/>
  <c r="G772" i="4"/>
  <c r="G801" i="4"/>
  <c r="G834" i="4"/>
  <c r="G867" i="4"/>
  <c r="G897" i="4"/>
  <c r="G930" i="4"/>
  <c r="G963" i="4"/>
  <c r="G993" i="4"/>
  <c r="G651" i="4"/>
  <c r="G679" i="4"/>
  <c r="G707" i="4"/>
  <c r="G737" i="4"/>
  <c r="G765" i="4"/>
  <c r="G797" i="4"/>
  <c r="G829" i="4"/>
  <c r="G860" i="4"/>
  <c r="G893" i="4"/>
  <c r="G925" i="4"/>
  <c r="G956" i="4"/>
  <c r="G989" i="4"/>
  <c r="G13" i="4"/>
  <c r="G35" i="4"/>
  <c r="G55" i="4"/>
  <c r="G75" i="4"/>
  <c r="G118" i="4"/>
  <c r="G179" i="4"/>
  <c r="G201" i="4"/>
  <c r="G223" i="4"/>
  <c r="G247" i="4"/>
  <c r="G273" i="4"/>
  <c r="G295" i="4"/>
  <c r="G346" i="4"/>
  <c r="G394" i="4"/>
  <c r="G447" i="4"/>
  <c r="G467" i="4"/>
  <c r="G493" i="4"/>
  <c r="G520" i="4"/>
  <c r="G568" i="4"/>
  <c r="G622" i="4"/>
  <c r="G680" i="4"/>
  <c r="G709" i="4"/>
  <c r="G738" i="4"/>
  <c r="G766" i="4"/>
  <c r="G861" i="4"/>
  <c r="G927" i="4"/>
  <c r="G957" i="4"/>
  <c r="G990" i="4"/>
  <c r="G16" i="4"/>
  <c r="G37" i="4"/>
  <c r="G59" i="4"/>
  <c r="G99" i="4"/>
  <c r="G120" i="4"/>
  <c r="G142" i="4"/>
  <c r="G181" i="4"/>
  <c r="G205" i="4"/>
  <c r="G275" i="4"/>
  <c r="G39" i="4"/>
  <c r="G82" i="4"/>
  <c r="G121" i="4"/>
  <c r="G143" i="4"/>
  <c r="G163" i="4"/>
  <c r="G184" i="4"/>
  <c r="G207" i="4"/>
  <c r="G231" i="4"/>
  <c r="G251" i="4"/>
  <c r="G277" i="4"/>
  <c r="G304" i="4"/>
  <c r="G328" i="4"/>
  <c r="G352" i="4"/>
  <c r="G377" i="4"/>
  <c r="G403" i="4"/>
  <c r="G425" i="4"/>
  <c r="G450" i="4"/>
  <c r="G476" i="4"/>
  <c r="G500" i="4"/>
  <c r="G524" i="4"/>
  <c r="G549" i="4"/>
  <c r="G575" i="4"/>
  <c r="G605" i="4"/>
  <c r="G633" i="4"/>
  <c r="G663" i="4"/>
  <c r="G691" i="4"/>
  <c r="G719" i="4"/>
  <c r="G749" i="4"/>
  <c r="G778" i="4"/>
  <c r="G802" i="4"/>
  <c r="G835" i="4"/>
  <c r="G868" i="4"/>
  <c r="G898" i="4"/>
  <c r="G931" i="4"/>
  <c r="G964" i="4"/>
  <c r="G998" i="4"/>
  <c r="G986" i="4"/>
  <c r="G974" i="4"/>
  <c r="G962" i="4"/>
  <c r="G950" i="4"/>
  <c r="G938" i="4"/>
  <c r="G926" i="4"/>
  <c r="G914" i="4"/>
  <c r="G902" i="4"/>
  <c r="G890" i="4"/>
  <c r="G878" i="4"/>
  <c r="G866" i="4"/>
  <c r="G854" i="4"/>
  <c r="G842" i="4"/>
  <c r="G830" i="4"/>
  <c r="G818" i="4"/>
  <c r="G806" i="4"/>
  <c r="G794" i="4"/>
  <c r="G782" i="4"/>
  <c r="G770" i="4"/>
  <c r="G758" i="4"/>
  <c r="G746" i="4"/>
  <c r="G734" i="4"/>
  <c r="G722" i="4"/>
  <c r="G710" i="4"/>
  <c r="G698" i="4"/>
  <c r="G686" i="4"/>
  <c r="G674" i="4"/>
  <c r="G662" i="4"/>
  <c r="G650" i="4"/>
  <c r="G638" i="4"/>
  <c r="G626" i="4"/>
  <c r="G614" i="4"/>
  <c r="G602" i="4"/>
  <c r="G590" i="4"/>
  <c r="G578" i="4"/>
  <c r="G566" i="4"/>
  <c r="G554" i="4"/>
  <c r="G542" i="4"/>
  <c r="G530" i="4"/>
  <c r="G518" i="4"/>
  <c r="G506" i="4"/>
  <c r="G494" i="4"/>
  <c r="G482" i="4"/>
  <c r="G470" i="4"/>
  <c r="G458" i="4"/>
  <c r="G446" i="4"/>
  <c r="G434" i="4"/>
  <c r="G422" i="4"/>
  <c r="G410" i="4"/>
  <c r="G398" i="4"/>
  <c r="G386" i="4"/>
  <c r="G374" i="4"/>
  <c r="G362" i="4"/>
  <c r="G350" i="4"/>
  <c r="G338" i="4"/>
  <c r="G326" i="4"/>
  <c r="G314" i="4"/>
  <c r="G302" i="4"/>
  <c r="G290" i="4"/>
  <c r="G278" i="4"/>
  <c r="G266" i="4"/>
  <c r="G254" i="4"/>
  <c r="G242" i="4"/>
  <c r="G230" i="4"/>
  <c r="G218" i="4"/>
  <c r="G206" i="4"/>
  <c r="G194" i="4"/>
  <c r="G182" i="4"/>
  <c r="G996" i="4"/>
  <c r="G984" i="4"/>
  <c r="G972" i="4"/>
  <c r="G960" i="4"/>
  <c r="G948" i="4"/>
  <c r="G936" i="4"/>
  <c r="G924" i="4"/>
  <c r="G912" i="4"/>
  <c r="G900" i="4"/>
  <c r="G888" i="4"/>
  <c r="G876" i="4"/>
  <c r="G864" i="4"/>
  <c r="G852" i="4"/>
  <c r="G840" i="4"/>
  <c r="G828" i="4"/>
  <c r="G816" i="4"/>
  <c r="G804" i="4"/>
  <c r="G792" i="4"/>
  <c r="G780" i="4"/>
  <c r="G768" i="4"/>
  <c r="G756" i="4"/>
  <c r="G744" i="4"/>
  <c r="G732" i="4"/>
  <c r="G720" i="4"/>
  <c r="G708" i="4"/>
  <c r="G696" i="4"/>
  <c r="G684" i="4"/>
  <c r="G672" i="4"/>
  <c r="G660" i="4"/>
  <c r="G648" i="4"/>
  <c r="G636" i="4"/>
  <c r="G624" i="4"/>
  <c r="G612" i="4"/>
  <c r="G600" i="4"/>
  <c r="G588" i="4"/>
  <c r="G576" i="4"/>
  <c r="G564" i="4"/>
  <c r="G552" i="4"/>
  <c r="G540" i="4"/>
  <c r="G528" i="4"/>
  <c r="G516" i="4"/>
  <c r="G504" i="4"/>
  <c r="G492" i="4"/>
  <c r="G480" i="4"/>
  <c r="G468" i="4"/>
  <c r="G456" i="4"/>
  <c r="G444" i="4"/>
  <c r="G432" i="4"/>
  <c r="G420" i="4"/>
  <c r="G408" i="4"/>
  <c r="G396" i="4"/>
  <c r="G384" i="4"/>
  <c r="G372" i="4"/>
  <c r="G360" i="4"/>
  <c r="G348" i="4"/>
  <c r="G336" i="4"/>
  <c r="G324" i="4"/>
  <c r="G312" i="4"/>
  <c r="G300" i="4"/>
  <c r="G288" i="4"/>
  <c r="G276" i="4"/>
  <c r="G264" i="4"/>
  <c r="G252" i="4"/>
  <c r="G240" i="4"/>
  <c r="G995" i="4"/>
  <c r="G983" i="4"/>
  <c r="G971" i="4"/>
  <c r="G959" i="4"/>
  <c r="G947" i="4"/>
  <c r="G935" i="4"/>
  <c r="G923" i="4"/>
  <c r="G911" i="4"/>
  <c r="G899" i="4"/>
  <c r="G887" i="4"/>
  <c r="G875" i="4"/>
  <c r="G863" i="4"/>
  <c r="G851" i="4"/>
  <c r="G839" i="4"/>
  <c r="G827" i="4"/>
  <c r="G815" i="4"/>
  <c r="G803" i="4"/>
  <c r="G791" i="4"/>
  <c r="G779" i="4"/>
  <c r="G767" i="4"/>
  <c r="G987" i="4"/>
  <c r="G969" i="4"/>
  <c r="G954" i="4"/>
  <c r="G939" i="4"/>
  <c r="G921" i="4"/>
  <c r="G906" i="4"/>
  <c r="G891" i="4"/>
  <c r="G873" i="4"/>
  <c r="G858" i="4"/>
  <c r="G843" i="4"/>
  <c r="G825" i="4"/>
  <c r="G810" i="4"/>
  <c r="G795" i="4"/>
  <c r="G777" i="4"/>
  <c r="G762" i="4"/>
  <c r="G748" i="4"/>
  <c r="G733" i="4"/>
  <c r="G718" i="4"/>
  <c r="G704" i="4"/>
  <c r="G690" i="4"/>
  <c r="G676" i="4"/>
  <c r="G661" i="4"/>
  <c r="G646" i="4"/>
  <c r="G632" i="4"/>
  <c r="G618" i="4"/>
  <c r="G604" i="4"/>
  <c r="G589" i="4"/>
  <c r="G574" i="4"/>
  <c r="G560" i="4"/>
  <c r="G546" i="4"/>
  <c r="G532" i="4"/>
  <c r="G517" i="4"/>
  <c r="G502" i="4"/>
  <c r="G488" i="4"/>
  <c r="G474" i="4"/>
  <c r="G460" i="4"/>
  <c r="G445" i="4"/>
  <c r="G430" i="4"/>
  <c r="G416" i="4"/>
  <c r="G402" i="4"/>
  <c r="G388" i="4"/>
  <c r="G373" i="4"/>
  <c r="G358" i="4"/>
  <c r="G344" i="4"/>
  <c r="G330" i="4"/>
  <c r="G316" i="4"/>
  <c r="G301" i="4"/>
  <c r="G286" i="4"/>
  <c r="G272" i="4"/>
  <c r="G258" i="4"/>
  <c r="G244" i="4"/>
  <c r="G229" i="4"/>
  <c r="G216" i="4"/>
  <c r="G203" i="4"/>
  <c r="G190" i="4"/>
  <c r="G177" i="4"/>
  <c r="G165" i="4"/>
  <c r="G153" i="4"/>
  <c r="G141" i="4"/>
  <c r="G129" i="4"/>
  <c r="G117" i="4"/>
  <c r="G105" i="4"/>
  <c r="G93" i="4"/>
  <c r="G81" i="4"/>
  <c r="G69" i="4"/>
  <c r="G57" i="4"/>
  <c r="G45" i="4"/>
  <c r="G33" i="4"/>
  <c r="G21" i="4"/>
  <c r="G9" i="4"/>
  <c r="G985" i="4"/>
  <c r="G968" i="4"/>
  <c r="G953" i="4"/>
  <c r="G937" i="4"/>
  <c r="G920" i="4"/>
  <c r="G905" i="4"/>
  <c r="G872" i="4"/>
  <c r="G857" i="4"/>
  <c r="G841" i="4"/>
  <c r="G824" i="4"/>
  <c r="G809" i="4"/>
  <c r="G793" i="4"/>
  <c r="G776" i="4"/>
  <c r="G761" i="4"/>
  <c r="G747" i="4"/>
  <c r="G731" i="4"/>
  <c r="G717" i="4"/>
  <c r="G703" i="4"/>
  <c r="G689" i="4"/>
  <c r="G675" i="4"/>
  <c r="G659" i="4"/>
  <c r="G645" i="4"/>
  <c r="G617" i="4"/>
  <c r="G603" i="4"/>
  <c r="G587" i="4"/>
  <c r="G573" i="4"/>
  <c r="G559" i="4"/>
  <c r="G545" i="4"/>
  <c r="G531" i="4"/>
  <c r="G515" i="4"/>
  <c r="G501" i="4"/>
  <c r="G487" i="4"/>
  <c r="G473" i="4"/>
  <c r="G459" i="4"/>
  <c r="G443" i="4"/>
  <c r="G429" i="4"/>
  <c r="G415" i="4"/>
  <c r="G401" i="4"/>
  <c r="G387" i="4"/>
  <c r="G371" i="4"/>
  <c r="G357" i="4"/>
  <c r="G343" i="4"/>
  <c r="G329" i="4"/>
  <c r="G315" i="4"/>
  <c r="G299" i="4"/>
  <c r="G285" i="4"/>
  <c r="G257" i="4"/>
  <c r="G243" i="4"/>
  <c r="G228" i="4"/>
  <c r="G215" i="4"/>
  <c r="G202" i="4"/>
  <c r="G189" i="4"/>
  <c r="G176" i="4"/>
  <c r="G164" i="4"/>
  <c r="G152" i="4"/>
  <c r="G140" i="4"/>
  <c r="G128" i="4"/>
  <c r="G116" i="4"/>
  <c r="G104" i="4"/>
  <c r="G92" i="4"/>
  <c r="G80" i="4"/>
  <c r="G68" i="4"/>
  <c r="G56" i="4"/>
  <c r="G44" i="4"/>
  <c r="G32" i="4"/>
  <c r="G20" i="4"/>
  <c r="G8" i="4"/>
  <c r="G1000" i="4"/>
  <c r="G982" i="4"/>
  <c r="G967" i="4"/>
  <c r="G952" i="4"/>
  <c r="G934" i="4"/>
  <c r="G919" i="4"/>
  <c r="G904" i="4"/>
  <c r="G886" i="4"/>
  <c r="G871" i="4"/>
  <c r="G856" i="4"/>
  <c r="G838" i="4"/>
  <c r="G823" i="4"/>
  <c r="G808" i="4"/>
  <c r="G775" i="4"/>
  <c r="G760" i="4"/>
  <c r="G745" i="4"/>
  <c r="G730" i="4"/>
  <c r="G716" i="4"/>
  <c r="G702" i="4"/>
  <c r="G688" i="4"/>
  <c r="G673" i="4"/>
  <c r="G658" i="4"/>
  <c r="G644" i="4"/>
  <c r="G630" i="4"/>
  <c r="G616" i="4"/>
  <c r="G601" i="4"/>
  <c r="G586" i="4"/>
  <c r="G889" i="4"/>
  <c r="G631" i="4"/>
  <c r="G271" i="4"/>
  <c r="G999" i="4"/>
  <c r="G981" i="4"/>
  <c r="G966" i="4"/>
  <c r="G951" i="4"/>
  <c r="G933" i="4"/>
  <c r="G918" i="4"/>
  <c r="G903" i="4"/>
  <c r="G885" i="4"/>
  <c r="G870" i="4"/>
  <c r="G855" i="4"/>
  <c r="G837" i="4"/>
  <c r="G822" i="4"/>
  <c r="G807" i="4"/>
  <c r="G789" i="4"/>
  <c r="G774" i="4"/>
  <c r="G759" i="4"/>
  <c r="G743" i="4"/>
  <c r="G729" i="4"/>
  <c r="G715" i="4"/>
  <c r="G701" i="4"/>
  <c r="G687" i="4"/>
  <c r="G671" i="4"/>
  <c r="G657" i="4"/>
  <c r="G643" i="4"/>
  <c r="G629" i="4"/>
  <c r="G615" i="4"/>
  <c r="G599" i="4"/>
  <c r="G585" i="4"/>
  <c r="G571" i="4"/>
  <c r="G557" i="4"/>
  <c r="G543" i="4"/>
  <c r="G527" i="4"/>
  <c r="G513" i="4"/>
  <c r="G499" i="4"/>
  <c r="G485" i="4"/>
  <c r="G471" i="4"/>
  <c r="G455" i="4"/>
  <c r="G441" i="4"/>
  <c r="G427" i="4"/>
  <c r="G413" i="4"/>
  <c r="G399" i="4"/>
  <c r="G383" i="4"/>
  <c r="G369" i="4"/>
  <c r="G355" i="4"/>
  <c r="G341" i="4"/>
  <c r="G327" i="4"/>
  <c r="G311" i="4"/>
  <c r="G297" i="4"/>
  <c r="G283" i="4"/>
  <c r="G269" i="4"/>
  <c r="G255" i="4"/>
  <c r="G239" i="4"/>
  <c r="G226" i="4"/>
  <c r="G213" i="4"/>
  <c r="G200" i="4"/>
  <c r="G187" i="4"/>
  <c r="G174" i="4"/>
  <c r="G162" i="4"/>
  <c r="G150" i="4"/>
  <c r="G138" i="4"/>
  <c r="G126" i="4"/>
  <c r="G114" i="4"/>
  <c r="G102" i="4"/>
  <c r="G90" i="4"/>
  <c r="G78" i="4"/>
  <c r="G66" i="4"/>
  <c r="G54" i="4"/>
  <c r="G42" i="4"/>
  <c r="G30" i="4"/>
  <c r="G18" i="4"/>
  <c r="G6" i="4"/>
  <c r="G997" i="4"/>
  <c r="G980" i="4"/>
  <c r="G965" i="4"/>
  <c r="G949" i="4"/>
  <c r="G932" i="4"/>
  <c r="G917" i="4"/>
  <c r="G901" i="4"/>
  <c r="G884" i="4"/>
  <c r="G869" i="4"/>
  <c r="G853" i="4"/>
  <c r="G836" i="4"/>
  <c r="G821" i="4"/>
  <c r="G805" i="4"/>
  <c r="G788" i="4"/>
  <c r="G773" i="4"/>
  <c r="G757" i="4"/>
  <c r="G742" i="4"/>
  <c r="G728" i="4"/>
  <c r="G714" i="4"/>
  <c r="G700" i="4"/>
  <c r="G685" i="4"/>
  <c r="G670" i="4"/>
  <c r="G656" i="4"/>
  <c r="G642" i="4"/>
  <c r="G628" i="4"/>
  <c r="G613" i="4"/>
  <c r="G598" i="4"/>
  <c r="G584" i="4"/>
  <c r="G570" i="4"/>
  <c r="G556" i="4"/>
  <c r="G541" i="4"/>
  <c r="G526" i="4"/>
  <c r="G512" i="4"/>
  <c r="G498" i="4"/>
  <c r="G484" i="4"/>
  <c r="G469" i="4"/>
  <c r="G454" i="4"/>
  <c r="G440" i="4"/>
  <c r="G426" i="4"/>
  <c r="G412" i="4"/>
  <c r="G397" i="4"/>
  <c r="G382" i="4"/>
  <c r="G368" i="4"/>
  <c r="G354" i="4"/>
  <c r="G340" i="4"/>
  <c r="G325" i="4"/>
  <c r="G310" i="4"/>
  <c r="G296" i="4"/>
  <c r="G282" i="4"/>
  <c r="G268" i="4"/>
  <c r="G253" i="4"/>
  <c r="G238" i="4"/>
  <c r="G225" i="4"/>
  <c r="G212" i="4"/>
  <c r="G199" i="4"/>
  <c r="G186" i="4"/>
  <c r="G173" i="4"/>
  <c r="G161" i="4"/>
  <c r="G149" i="4"/>
  <c r="G137" i="4"/>
  <c r="G125" i="4"/>
  <c r="G113" i="4"/>
  <c r="G101" i="4"/>
  <c r="G89" i="4"/>
  <c r="G77" i="4"/>
  <c r="G65" i="4"/>
  <c r="G53" i="4"/>
  <c r="G41" i="4"/>
  <c r="G29" i="4"/>
  <c r="G17" i="4"/>
  <c r="G5" i="4"/>
  <c r="G992" i="4"/>
  <c r="G977" i="4"/>
  <c r="G961" i="4"/>
  <c r="G944" i="4"/>
  <c r="G929" i="4"/>
  <c r="G913" i="4"/>
  <c r="G896" i="4"/>
  <c r="G881" i="4"/>
  <c r="G865" i="4"/>
  <c r="G848" i="4"/>
  <c r="G833" i="4"/>
  <c r="G817" i="4"/>
  <c r="G800" i="4"/>
  <c r="G785" i="4"/>
  <c r="G769" i="4"/>
  <c r="G753" i="4"/>
  <c r="G739" i="4"/>
  <c r="G725" i="4"/>
  <c r="G711" i="4"/>
  <c r="G695" i="4"/>
  <c r="G681" i="4"/>
  <c r="G667" i="4"/>
  <c r="G653" i="4"/>
  <c r="G639" i="4"/>
  <c r="G623" i="4"/>
  <c r="G609" i="4"/>
  <c r="G595" i="4"/>
  <c r="G581" i="4"/>
  <c r="G567" i="4"/>
  <c r="G551" i="4"/>
  <c r="G537" i="4"/>
  <c r="G523" i="4"/>
  <c r="G509" i="4"/>
  <c r="G495" i="4"/>
  <c r="G479" i="4"/>
  <c r="G465" i="4"/>
  <c r="G451" i="4"/>
  <c r="G437" i="4"/>
  <c r="G423" i="4"/>
  <c r="G407" i="4"/>
  <c r="G393" i="4"/>
  <c r="G379" i="4"/>
  <c r="G365" i="4"/>
  <c r="G351" i="4"/>
  <c r="G335" i="4"/>
  <c r="G321" i="4"/>
  <c r="G307" i="4"/>
  <c r="G293" i="4"/>
  <c r="G279" i="4"/>
  <c r="G263" i="4"/>
  <c r="G249" i="4"/>
  <c r="G235" i="4"/>
  <c r="G222" i="4"/>
  <c r="G209" i="4"/>
  <c r="G196" i="4"/>
  <c r="G183" i="4"/>
  <c r="G170" i="4"/>
  <c r="G158" i="4"/>
  <c r="G146" i="4"/>
  <c r="G134" i="4"/>
  <c r="G122" i="4"/>
  <c r="G110" i="4"/>
  <c r="G98" i="4"/>
  <c r="G86" i="4"/>
  <c r="G74" i="4"/>
  <c r="G62" i="4"/>
  <c r="G50" i="4"/>
  <c r="G38" i="4"/>
  <c r="G26" i="4"/>
  <c r="G14" i="4"/>
  <c r="G19" i="4"/>
  <c r="G60" i="4"/>
  <c r="G100" i="4"/>
  <c r="G83" i="4"/>
  <c r="G232" i="4"/>
  <c r="G353" i="4"/>
  <c r="G404" i="4"/>
  <c r="G428" i="4"/>
  <c r="G477" i="4"/>
  <c r="G503" i="4"/>
  <c r="G525" i="4"/>
  <c r="G550" i="4"/>
  <c r="G577" i="4"/>
  <c r="G606" i="4"/>
  <c r="G634" i="4"/>
  <c r="G664" i="4"/>
  <c r="G692" i="4"/>
  <c r="G721" i="4"/>
  <c r="G750" i="4"/>
  <c r="G781" i="4"/>
  <c r="G811" i="4"/>
  <c r="G844" i="4"/>
  <c r="G874" i="4"/>
  <c r="G907" i="4"/>
  <c r="G940" i="4"/>
  <c r="G970" i="4"/>
  <c r="G136" i="4"/>
  <c r="G370" i="4"/>
  <c r="G594" i="4"/>
  <c r="G831" i="4"/>
  <c r="G22" i="4"/>
  <c r="G40" i="4"/>
  <c r="G61" i="4"/>
  <c r="G103" i="4"/>
  <c r="G123" i="4"/>
  <c r="G144" i="4"/>
  <c r="G166" i="4"/>
  <c r="G185" i="4"/>
  <c r="G208" i="4"/>
  <c r="G256" i="4"/>
  <c r="G280" i="4"/>
  <c r="G305" i="4"/>
  <c r="G331" i="4"/>
  <c r="G378" i="4"/>
  <c r="G452" i="4"/>
  <c r="G2" i="4"/>
  <c r="G23" i="4"/>
  <c r="G43" i="4"/>
  <c r="G63" i="4"/>
  <c r="G84" i="4"/>
  <c r="G106" i="4"/>
  <c r="G124" i="4"/>
  <c r="G145" i="4"/>
  <c r="G167" i="4"/>
  <c r="G188" i="4"/>
  <c r="G210" i="4"/>
  <c r="G233" i="4"/>
  <c r="G259" i="4"/>
  <c r="G281" i="4"/>
  <c r="G306" i="4"/>
  <c r="G332" i="4"/>
  <c r="G356" i="4"/>
  <c r="G380" i="4"/>
  <c r="G405" i="4"/>
  <c r="G431" i="4"/>
  <c r="G453" i="4"/>
  <c r="G478" i="4"/>
  <c r="G505" i="4"/>
  <c r="G529" i="4"/>
  <c r="G553" i="4"/>
  <c r="G579" i="4"/>
  <c r="G607" i="4"/>
  <c r="G635" i="4"/>
  <c r="G665" i="4"/>
  <c r="G693" i="4"/>
  <c r="G723" i="4"/>
  <c r="G751" i="4"/>
  <c r="G783" i="4"/>
  <c r="G812" i="4"/>
  <c r="G845" i="4"/>
  <c r="G877" i="4"/>
  <c r="G908" i="4"/>
  <c r="G941" i="4"/>
  <c r="G973" i="4"/>
  <c r="A5" i="5"/>
  <c r="A20" i="5"/>
  <c r="A34" i="5"/>
  <c r="A48" i="5"/>
  <c r="A62" i="5"/>
  <c r="A76" i="5"/>
  <c r="A92" i="5"/>
  <c r="A106" i="5"/>
  <c r="A120" i="5"/>
  <c r="A134" i="5"/>
  <c r="A148" i="5"/>
  <c r="A163" i="5"/>
  <c r="A177" i="5"/>
  <c r="A7" i="5"/>
  <c r="A21" i="5"/>
  <c r="A35" i="5"/>
  <c r="A49" i="5"/>
  <c r="A63" i="5"/>
  <c r="A79" i="5"/>
  <c r="A93" i="5"/>
  <c r="A107" i="5"/>
  <c r="A121" i="5"/>
  <c r="A135" i="5"/>
  <c r="A149" i="5"/>
  <c r="A164" i="5"/>
  <c r="A178" i="5"/>
  <c r="A8" i="5"/>
  <c r="A22" i="5"/>
  <c r="A36" i="5"/>
  <c r="A50" i="5"/>
  <c r="A65" i="5"/>
  <c r="A80" i="5"/>
  <c r="A94" i="5"/>
  <c r="A108" i="5"/>
  <c r="A122" i="5"/>
  <c r="A136" i="5"/>
  <c r="A151" i="5"/>
  <c r="A165" i="5"/>
  <c r="A179" i="5"/>
  <c r="A9" i="5"/>
  <c r="A23" i="5"/>
  <c r="A37" i="5"/>
  <c r="A52" i="5"/>
  <c r="A67" i="5"/>
  <c r="A81" i="5"/>
  <c r="A95" i="5"/>
  <c r="A109" i="5"/>
  <c r="A123" i="5"/>
  <c r="A137" i="5"/>
  <c r="A152" i="5"/>
  <c r="A166" i="5"/>
  <c r="A180" i="5"/>
  <c r="A10" i="5"/>
  <c r="A24" i="5"/>
  <c r="A39" i="5"/>
  <c r="A53" i="5"/>
  <c r="A68" i="5"/>
  <c r="A82" i="5"/>
  <c r="A96" i="5"/>
  <c r="A110" i="5"/>
  <c r="A124" i="5"/>
  <c r="A139" i="5"/>
  <c r="A153" i="5"/>
  <c r="A167" i="5"/>
  <c r="A181" i="5"/>
  <c r="A13" i="5"/>
  <c r="A27" i="5"/>
  <c r="A41" i="5"/>
  <c r="A56" i="5"/>
  <c r="A70" i="5"/>
  <c r="A84" i="5"/>
  <c r="A98" i="5"/>
  <c r="A112" i="5"/>
  <c r="A127" i="5"/>
  <c r="A141" i="5"/>
  <c r="A155" i="5"/>
  <c r="A170" i="5"/>
  <c r="A184" i="5"/>
  <c r="A14" i="5"/>
  <c r="A28" i="5"/>
  <c r="A43" i="5"/>
  <c r="A57" i="5"/>
  <c r="A71" i="5"/>
  <c r="A85" i="5"/>
  <c r="A99" i="5"/>
  <c r="A113" i="5"/>
  <c r="A128" i="5"/>
  <c r="A142" i="5"/>
  <c r="A157" i="5"/>
  <c r="A171" i="5"/>
  <c r="A185" i="5"/>
  <c r="A2" i="5"/>
  <c r="A15" i="5"/>
  <c r="A29" i="5"/>
  <c r="A44" i="5"/>
  <c r="A58" i="5"/>
  <c r="A72" i="5"/>
  <c r="A86" i="5"/>
  <c r="A100" i="5"/>
  <c r="A115" i="5"/>
  <c r="A129" i="5"/>
  <c r="A144" i="5"/>
  <c r="A158" i="5"/>
  <c r="A174" i="5"/>
  <c r="A162" i="5"/>
  <c r="A150" i="5"/>
  <c r="A138" i="5"/>
  <c r="A126" i="5"/>
  <c r="A114" i="5"/>
  <c r="A102" i="5"/>
  <c r="A90" i="5"/>
  <c r="A78" i="5"/>
  <c r="A66" i="5"/>
  <c r="A54" i="5"/>
  <c r="A42" i="5"/>
  <c r="A30" i="5"/>
  <c r="A18" i="5"/>
  <c r="A6" i="5"/>
  <c r="A182" i="5"/>
  <c r="A169" i="5"/>
  <c r="A156" i="5"/>
  <c r="A143" i="5"/>
  <c r="A130" i="5"/>
  <c r="A117" i="5"/>
  <c r="A104" i="5"/>
  <c r="A91" i="5"/>
  <c r="A77" i="5"/>
  <c r="A64" i="5"/>
  <c r="A51" i="5"/>
  <c r="A38" i="5"/>
  <c r="A25" i="5"/>
  <c r="A12" i="5"/>
  <c r="A16" i="5"/>
  <c r="A31" i="5"/>
  <c r="A45" i="5"/>
  <c r="A59" i="5"/>
  <c r="A73" i="5"/>
  <c r="A87" i="5"/>
  <c r="A101" i="5"/>
  <c r="A116" i="5"/>
  <c r="A131" i="5"/>
  <c r="A145" i="5"/>
  <c r="A159" i="5"/>
  <c r="A173" i="5"/>
  <c r="H2" i="6"/>
  <c r="H11" i="6" s="1"/>
  <c r="C19" i="6" l="1"/>
  <c r="E17" i="6"/>
  <c r="G15" i="6"/>
  <c r="B19" i="6"/>
  <c r="D17" i="6"/>
  <c r="F15" i="6"/>
  <c r="C17" i="6"/>
  <c r="E15" i="6"/>
  <c r="G18" i="6"/>
  <c r="B17" i="6"/>
  <c r="D15" i="6"/>
  <c r="F18" i="6"/>
  <c r="C15" i="6"/>
  <c r="E18" i="6"/>
  <c r="G16" i="6"/>
  <c r="B15" i="6"/>
  <c r="D18" i="6"/>
  <c r="F16" i="6"/>
  <c r="C18" i="6"/>
  <c r="E16" i="6"/>
  <c r="G19" i="6"/>
  <c r="B18" i="6"/>
  <c r="D16" i="6"/>
  <c r="F19" i="6"/>
  <c r="C16" i="6"/>
  <c r="E19" i="6"/>
  <c r="G17" i="6"/>
  <c r="B16" i="6"/>
  <c r="D19" i="6"/>
  <c r="F17" i="6"/>
  <c r="C2" i="5" a="1"/>
  <c r="E2" i="5" a="1"/>
  <c r="H19" i="6" l="1"/>
  <c r="C20" i="6"/>
  <c r="H16" i="6"/>
  <c r="D20" i="6"/>
  <c r="B20" i="6"/>
  <c r="H15" i="6"/>
  <c r="H18" i="6"/>
  <c r="H17" i="6"/>
  <c r="E885" i="5"/>
  <c r="E873" i="5"/>
  <c r="E861" i="5"/>
  <c r="E849" i="5"/>
  <c r="E837" i="5"/>
  <c r="E825" i="5"/>
  <c r="E813" i="5"/>
  <c r="E801" i="5"/>
  <c r="E789" i="5"/>
  <c r="E777" i="5"/>
  <c r="E765" i="5"/>
  <c r="E753" i="5"/>
  <c r="E741" i="5"/>
  <c r="E729" i="5"/>
  <c r="E717" i="5"/>
  <c r="E705" i="5"/>
  <c r="E693" i="5"/>
  <c r="E681" i="5"/>
  <c r="E669" i="5"/>
  <c r="E657" i="5"/>
  <c r="E645" i="5"/>
  <c r="E633" i="5"/>
  <c r="E621" i="5"/>
  <c r="E609" i="5"/>
  <c r="E597" i="5"/>
  <c r="E585" i="5"/>
  <c r="E573" i="5"/>
  <c r="E561" i="5"/>
  <c r="E549" i="5"/>
  <c r="E537" i="5"/>
  <c r="E525" i="5"/>
  <c r="E513" i="5"/>
  <c r="E501" i="5"/>
  <c r="E489" i="5"/>
  <c r="E477" i="5"/>
  <c r="E465" i="5"/>
  <c r="E453" i="5"/>
  <c r="E441" i="5"/>
  <c r="E429" i="5"/>
  <c r="E417" i="5"/>
  <c r="E405" i="5"/>
  <c r="E393" i="5"/>
  <c r="E381" i="5"/>
  <c r="E369" i="5"/>
  <c r="E357" i="5"/>
  <c r="E345" i="5"/>
  <c r="E333" i="5"/>
  <c r="E321" i="5"/>
  <c r="E309" i="5"/>
  <c r="E297" i="5"/>
  <c r="E285" i="5"/>
  <c r="E273" i="5"/>
  <c r="E261" i="5"/>
  <c r="E249" i="5"/>
  <c r="E237" i="5"/>
  <c r="E225" i="5"/>
  <c r="E213" i="5"/>
  <c r="E201" i="5"/>
  <c r="E189" i="5"/>
  <c r="E177" i="5"/>
  <c r="E165" i="5"/>
  <c r="E153" i="5"/>
  <c r="E141" i="5"/>
  <c r="E129" i="5"/>
  <c r="E117" i="5"/>
  <c r="E105" i="5"/>
  <c r="E884" i="5"/>
  <c r="E872" i="5"/>
  <c r="E860" i="5"/>
  <c r="E848" i="5"/>
  <c r="E836" i="5"/>
  <c r="E824" i="5"/>
  <c r="E812" i="5"/>
  <c r="E800" i="5"/>
  <c r="E788" i="5"/>
  <c r="E776" i="5"/>
  <c r="E764" i="5"/>
  <c r="E752" i="5"/>
  <c r="E740" i="5"/>
  <c r="E728" i="5"/>
  <c r="E716" i="5"/>
  <c r="E704" i="5"/>
  <c r="E692" i="5"/>
  <c r="E680" i="5"/>
  <c r="E668" i="5"/>
  <c r="E656" i="5"/>
  <c r="E644" i="5"/>
  <c r="E632" i="5"/>
  <c r="E620" i="5"/>
  <c r="E608" i="5"/>
  <c r="E596" i="5"/>
  <c r="E584" i="5"/>
  <c r="E572" i="5"/>
  <c r="E560" i="5"/>
  <c r="E548" i="5"/>
  <c r="E536" i="5"/>
  <c r="E524" i="5"/>
  <c r="E512" i="5"/>
  <c r="E500" i="5"/>
  <c r="E488" i="5"/>
  <c r="E476" i="5"/>
  <c r="E464" i="5"/>
  <c r="E452" i="5"/>
  <c r="E440" i="5"/>
  <c r="E428" i="5"/>
  <c r="E416" i="5"/>
  <c r="E404" i="5"/>
  <c r="E392" i="5"/>
  <c r="E380" i="5"/>
  <c r="E368" i="5"/>
  <c r="E356" i="5"/>
  <c r="E344" i="5"/>
  <c r="E883" i="5"/>
  <c r="E871" i="5"/>
  <c r="E859" i="5"/>
  <c r="E847" i="5"/>
  <c r="E835" i="5"/>
  <c r="E823" i="5"/>
  <c r="E811" i="5"/>
  <c r="E799" i="5"/>
  <c r="E787" i="5"/>
  <c r="E775" i="5"/>
  <c r="E763" i="5"/>
  <c r="E751" i="5"/>
  <c r="E739" i="5"/>
  <c r="E727" i="5"/>
  <c r="E715" i="5"/>
  <c r="E703" i="5"/>
  <c r="E691" i="5"/>
  <c r="E679" i="5"/>
  <c r="E667" i="5"/>
  <c r="E655" i="5"/>
  <c r="E643" i="5"/>
  <c r="E631" i="5"/>
  <c r="E619" i="5"/>
  <c r="E607" i="5"/>
  <c r="E595" i="5"/>
  <c r="E583" i="5"/>
  <c r="E571" i="5"/>
  <c r="E559" i="5"/>
  <c r="E547" i="5"/>
  <c r="E535" i="5"/>
  <c r="E523" i="5"/>
  <c r="E511" i="5"/>
  <c r="E499" i="5"/>
  <c r="E487" i="5"/>
  <c r="E475" i="5"/>
  <c r="E463" i="5"/>
  <c r="E451" i="5"/>
  <c r="E439" i="5"/>
  <c r="E427" i="5"/>
  <c r="E415" i="5"/>
  <c r="E403" i="5"/>
  <c r="E391" i="5"/>
  <c r="E379" i="5"/>
  <c r="E367" i="5"/>
  <c r="E355" i="5"/>
  <c r="E343" i="5"/>
  <c r="E331" i="5"/>
  <c r="E319" i="5"/>
  <c r="E307" i="5"/>
  <c r="E295" i="5"/>
  <c r="E283" i="5"/>
  <c r="E271" i="5"/>
  <c r="E259" i="5"/>
  <c r="E247" i="5"/>
  <c r="E235" i="5"/>
  <c r="E223" i="5"/>
  <c r="E211" i="5"/>
  <c r="E199" i="5"/>
  <c r="E187" i="5"/>
  <c r="E175" i="5"/>
  <c r="E163" i="5"/>
  <c r="E151" i="5"/>
  <c r="E139" i="5"/>
  <c r="E127" i="5"/>
  <c r="E115" i="5"/>
  <c r="E103" i="5"/>
  <c r="E882" i="5"/>
  <c r="E870" i="5"/>
  <c r="E858" i="5"/>
  <c r="E846" i="5"/>
  <c r="E834" i="5"/>
  <c r="E822" i="5"/>
  <c r="E810" i="5"/>
  <c r="E798" i="5"/>
  <c r="E786" i="5"/>
  <c r="E774" i="5"/>
  <c r="E762" i="5"/>
  <c r="E750" i="5"/>
  <c r="E738" i="5"/>
  <c r="E726" i="5"/>
  <c r="E714" i="5"/>
  <c r="E702" i="5"/>
  <c r="E690" i="5"/>
  <c r="E678" i="5"/>
  <c r="E666" i="5"/>
  <c r="E654" i="5"/>
  <c r="E642" i="5"/>
  <c r="E630" i="5"/>
  <c r="E618" i="5"/>
  <c r="E606" i="5"/>
  <c r="E594" i="5"/>
  <c r="E582" i="5"/>
  <c r="E570" i="5"/>
  <c r="E558" i="5"/>
  <c r="E546" i="5"/>
  <c r="E534" i="5"/>
  <c r="E522" i="5"/>
  <c r="E510" i="5"/>
  <c r="E498" i="5"/>
  <c r="E486" i="5"/>
  <c r="E474" i="5"/>
  <c r="E462" i="5"/>
  <c r="E450" i="5"/>
  <c r="E438" i="5"/>
  <c r="E426" i="5"/>
  <c r="E414" i="5"/>
  <c r="E402" i="5"/>
  <c r="E390" i="5"/>
  <c r="E378" i="5"/>
  <c r="E366" i="5"/>
  <c r="E354" i="5"/>
  <c r="E342" i="5"/>
  <c r="E330" i="5"/>
  <c r="E318" i="5"/>
  <c r="E306" i="5"/>
  <c r="E294" i="5"/>
  <c r="E282" i="5"/>
  <c r="E270" i="5"/>
  <c r="E258" i="5"/>
  <c r="E246" i="5"/>
  <c r="E234" i="5"/>
  <c r="E222" i="5"/>
  <c r="E210" i="5"/>
  <c r="E198" i="5"/>
  <c r="E186" i="5"/>
  <c r="E876" i="5"/>
  <c r="E856" i="5"/>
  <c r="E840" i="5"/>
  <c r="E820" i="5"/>
  <c r="E804" i="5"/>
  <c r="E784" i="5"/>
  <c r="E768" i="5"/>
  <c r="E748" i="5"/>
  <c r="E732" i="5"/>
  <c r="E712" i="5"/>
  <c r="E696" i="5"/>
  <c r="E676" i="5"/>
  <c r="E660" i="5"/>
  <c r="E640" i="5"/>
  <c r="E624" i="5"/>
  <c r="E604" i="5"/>
  <c r="E588" i="5"/>
  <c r="E568" i="5"/>
  <c r="E552" i="5"/>
  <c r="E532" i="5"/>
  <c r="E516" i="5"/>
  <c r="E496" i="5"/>
  <c r="E480" i="5"/>
  <c r="E460" i="5"/>
  <c r="E444" i="5"/>
  <c r="E424" i="5"/>
  <c r="E408" i="5"/>
  <c r="E388" i="5"/>
  <c r="E372" i="5"/>
  <c r="E352" i="5"/>
  <c r="E336" i="5"/>
  <c r="E320" i="5"/>
  <c r="E303" i="5"/>
  <c r="E288" i="5"/>
  <c r="E272" i="5"/>
  <c r="E255" i="5"/>
  <c r="E240" i="5"/>
  <c r="E224" i="5"/>
  <c r="E207" i="5"/>
  <c r="E192" i="5"/>
  <c r="E176" i="5"/>
  <c r="E161" i="5"/>
  <c r="E147" i="5"/>
  <c r="E133" i="5"/>
  <c r="E119" i="5"/>
  <c r="E104" i="5"/>
  <c r="E91" i="5"/>
  <c r="E79" i="5"/>
  <c r="E67" i="5"/>
  <c r="E55" i="5"/>
  <c r="E43" i="5"/>
  <c r="E31" i="5"/>
  <c r="E19" i="5"/>
  <c r="E7" i="5"/>
  <c r="E868" i="5"/>
  <c r="E852" i="5"/>
  <c r="E832" i="5"/>
  <c r="E816" i="5"/>
  <c r="E796" i="5"/>
  <c r="E780" i="5"/>
  <c r="E760" i="5"/>
  <c r="E744" i="5"/>
  <c r="E724" i="5"/>
  <c r="E708" i="5"/>
  <c r="E688" i="5"/>
  <c r="E672" i="5"/>
  <c r="E652" i="5"/>
  <c r="E636" i="5"/>
  <c r="E616" i="5"/>
  <c r="E600" i="5"/>
  <c r="E580" i="5"/>
  <c r="E564" i="5"/>
  <c r="E544" i="5"/>
  <c r="E528" i="5"/>
  <c r="E508" i="5"/>
  <c r="E492" i="5"/>
  <c r="E472" i="5"/>
  <c r="E456" i="5"/>
  <c r="E436" i="5"/>
  <c r="E420" i="5"/>
  <c r="E400" i="5"/>
  <c r="E384" i="5"/>
  <c r="E364" i="5"/>
  <c r="E348" i="5"/>
  <c r="E329" i="5"/>
  <c r="E314" i="5"/>
  <c r="E299" i="5"/>
  <c r="E281" i="5"/>
  <c r="E266" i="5"/>
  <c r="E251" i="5"/>
  <c r="E233" i="5"/>
  <c r="E218" i="5"/>
  <c r="E203" i="5"/>
  <c r="E185" i="5"/>
  <c r="E171" i="5"/>
  <c r="E157" i="5"/>
  <c r="E143" i="5"/>
  <c r="E128" i="5"/>
  <c r="E113" i="5"/>
  <c r="E99" i="5"/>
  <c r="E87" i="5"/>
  <c r="E75" i="5"/>
  <c r="E63" i="5"/>
  <c r="E51" i="5"/>
  <c r="E39" i="5"/>
  <c r="E27" i="5"/>
  <c r="E15" i="5"/>
  <c r="E3" i="5"/>
  <c r="E880" i="5"/>
  <c r="E864" i="5"/>
  <c r="E844" i="5"/>
  <c r="E828" i="5"/>
  <c r="E808" i="5"/>
  <c r="E792" i="5"/>
  <c r="E772" i="5"/>
  <c r="E756" i="5"/>
  <c r="E736" i="5"/>
  <c r="E720" i="5"/>
  <c r="E700" i="5"/>
  <c r="E684" i="5"/>
  <c r="E664" i="5"/>
  <c r="E648" i="5"/>
  <c r="E628" i="5"/>
  <c r="E612" i="5"/>
  <c r="E592" i="5"/>
  <c r="E576" i="5"/>
  <c r="E556" i="5"/>
  <c r="E540" i="5"/>
  <c r="E520" i="5"/>
  <c r="E504" i="5"/>
  <c r="E484" i="5"/>
  <c r="E468" i="5"/>
  <c r="E448" i="5"/>
  <c r="E432" i="5"/>
  <c r="E412" i="5"/>
  <c r="E396" i="5"/>
  <c r="E376" i="5"/>
  <c r="E360" i="5"/>
  <c r="E340" i="5"/>
  <c r="E325" i="5"/>
  <c r="E310" i="5"/>
  <c r="E292" i="5"/>
  <c r="E277" i="5"/>
  <c r="E262" i="5"/>
  <c r="E244" i="5"/>
  <c r="E229" i="5"/>
  <c r="E214" i="5"/>
  <c r="E196" i="5"/>
  <c r="E181" i="5"/>
  <c r="E167" i="5"/>
  <c r="E152" i="5"/>
  <c r="E137" i="5"/>
  <c r="E123" i="5"/>
  <c r="E879" i="5"/>
  <c r="E863" i="5"/>
  <c r="E843" i="5"/>
  <c r="E827" i="5"/>
  <c r="E807" i="5"/>
  <c r="E791" i="5"/>
  <c r="E771" i="5"/>
  <c r="E755" i="5"/>
  <c r="E735" i="5"/>
  <c r="E719" i="5"/>
  <c r="E699" i="5"/>
  <c r="E683" i="5"/>
  <c r="E663" i="5"/>
  <c r="E647" i="5"/>
  <c r="E627" i="5"/>
  <c r="E611" i="5"/>
  <c r="E591" i="5"/>
  <c r="E575" i="5"/>
  <c r="E555" i="5"/>
  <c r="E539" i="5"/>
  <c r="E519" i="5"/>
  <c r="E503" i="5"/>
  <c r="E483" i="5"/>
  <c r="E467" i="5"/>
  <c r="E878" i="5"/>
  <c r="E862" i="5"/>
  <c r="E842" i="5"/>
  <c r="E826" i="5"/>
  <c r="E806" i="5"/>
  <c r="E790" i="5"/>
  <c r="E770" i="5"/>
  <c r="E754" i="5"/>
  <c r="E734" i="5"/>
  <c r="E718" i="5"/>
  <c r="E698" i="5"/>
  <c r="E682" i="5"/>
  <c r="E662" i="5"/>
  <c r="E646" i="5"/>
  <c r="E626" i="5"/>
  <c r="E610" i="5"/>
  <c r="E590" i="5"/>
  <c r="E574" i="5"/>
  <c r="E554" i="5"/>
  <c r="E865" i="5"/>
  <c r="E831" i="5"/>
  <c r="E802" i="5"/>
  <c r="E769" i="5"/>
  <c r="E742" i="5"/>
  <c r="E709" i="5"/>
  <c r="E675" i="5"/>
  <c r="E649" i="5"/>
  <c r="E615" i="5"/>
  <c r="E586" i="5"/>
  <c r="E553" i="5"/>
  <c r="E527" i="5"/>
  <c r="E497" i="5"/>
  <c r="E471" i="5"/>
  <c r="E446" i="5"/>
  <c r="E422" i="5"/>
  <c r="E398" i="5"/>
  <c r="E374" i="5"/>
  <c r="E350" i="5"/>
  <c r="E327" i="5"/>
  <c r="E305" i="5"/>
  <c r="E286" i="5"/>
  <c r="E264" i="5"/>
  <c r="E242" i="5"/>
  <c r="E220" i="5"/>
  <c r="E200" i="5"/>
  <c r="E179" i="5"/>
  <c r="E159" i="5"/>
  <c r="E140" i="5"/>
  <c r="E121" i="5"/>
  <c r="E102" i="5"/>
  <c r="E88" i="5"/>
  <c r="E73" i="5"/>
  <c r="E59" i="5"/>
  <c r="E45" i="5"/>
  <c r="E30" i="5"/>
  <c r="E16" i="5"/>
  <c r="E2" i="5"/>
  <c r="E857" i="5"/>
  <c r="E830" i="5"/>
  <c r="E797" i="5"/>
  <c r="E767" i="5"/>
  <c r="E737" i="5"/>
  <c r="E707" i="5"/>
  <c r="E674" i="5"/>
  <c r="E641" i="5"/>
  <c r="E614" i="5"/>
  <c r="E581" i="5"/>
  <c r="E551" i="5"/>
  <c r="E526" i="5"/>
  <c r="E495" i="5"/>
  <c r="E470" i="5"/>
  <c r="E445" i="5"/>
  <c r="E421" i="5"/>
  <c r="E397" i="5"/>
  <c r="E373" i="5"/>
  <c r="E349" i="5"/>
  <c r="E326" i="5"/>
  <c r="E304" i="5"/>
  <c r="E284" i="5"/>
  <c r="E263" i="5"/>
  <c r="E241" i="5"/>
  <c r="E219" i="5"/>
  <c r="E197" i="5"/>
  <c r="E178" i="5"/>
  <c r="E158" i="5"/>
  <c r="E138" i="5"/>
  <c r="E120" i="5"/>
  <c r="E101" i="5"/>
  <c r="E86" i="5"/>
  <c r="E72" i="5"/>
  <c r="E58" i="5"/>
  <c r="E44" i="5"/>
  <c r="E29" i="5"/>
  <c r="E14" i="5"/>
  <c r="E886" i="5"/>
  <c r="E853" i="5"/>
  <c r="E819" i="5"/>
  <c r="E793" i="5"/>
  <c r="E759" i="5"/>
  <c r="E730" i="5"/>
  <c r="E697" i="5"/>
  <c r="E670" i="5"/>
  <c r="E637" i="5"/>
  <c r="E603" i="5"/>
  <c r="E577" i="5"/>
  <c r="E543" i="5"/>
  <c r="E517" i="5"/>
  <c r="E491" i="5"/>
  <c r="E461" i="5"/>
  <c r="E437" i="5"/>
  <c r="E413" i="5"/>
  <c r="E389" i="5"/>
  <c r="E365" i="5"/>
  <c r="E341" i="5"/>
  <c r="E322" i="5"/>
  <c r="E300" i="5"/>
  <c r="E278" i="5"/>
  <c r="E256" i="5"/>
  <c r="E236" i="5"/>
  <c r="E215" i="5"/>
  <c r="E193" i="5"/>
  <c r="E172" i="5"/>
  <c r="E154" i="5"/>
  <c r="E134" i="5"/>
  <c r="E114" i="5"/>
  <c r="E97" i="5"/>
  <c r="E83" i="5"/>
  <c r="E69" i="5"/>
  <c r="E54" i="5"/>
  <c r="E40" i="5"/>
  <c r="E25" i="5"/>
  <c r="E11" i="5"/>
  <c r="E881" i="5"/>
  <c r="E841" i="5"/>
  <c r="E803" i="5"/>
  <c r="E758" i="5"/>
  <c r="E721" i="5"/>
  <c r="E677" i="5"/>
  <c r="E635" i="5"/>
  <c r="E598" i="5"/>
  <c r="E557" i="5"/>
  <c r="E515" i="5"/>
  <c r="E481" i="5"/>
  <c r="E447" i="5"/>
  <c r="E411" i="5"/>
  <c r="E383" i="5"/>
  <c r="E351" i="5"/>
  <c r="E317" i="5"/>
  <c r="E291" i="5"/>
  <c r="E265" i="5"/>
  <c r="E232" i="5"/>
  <c r="E206" i="5"/>
  <c r="E180" i="5"/>
  <c r="E150" i="5"/>
  <c r="E126" i="5"/>
  <c r="E106" i="5"/>
  <c r="E82" i="5"/>
  <c r="E64" i="5"/>
  <c r="E46" i="5"/>
  <c r="E24" i="5"/>
  <c r="E6" i="5"/>
  <c r="E877" i="5"/>
  <c r="E839" i="5"/>
  <c r="E795" i="5"/>
  <c r="E757" i="5"/>
  <c r="E713" i="5"/>
  <c r="E673" i="5"/>
  <c r="E634" i="5"/>
  <c r="E593" i="5"/>
  <c r="E550" i="5"/>
  <c r="E514" i="5"/>
  <c r="E479" i="5"/>
  <c r="E443" i="5"/>
  <c r="E410" i="5"/>
  <c r="E382" i="5"/>
  <c r="E347" i="5"/>
  <c r="E316" i="5"/>
  <c r="E290" i="5"/>
  <c r="E260" i="5"/>
  <c r="E231" i="5"/>
  <c r="E205" i="5"/>
  <c r="E174" i="5"/>
  <c r="E149" i="5"/>
  <c r="E125" i="5"/>
  <c r="E100" i="5"/>
  <c r="E81" i="5"/>
  <c r="E62" i="5"/>
  <c r="E42" i="5"/>
  <c r="E23" i="5"/>
  <c r="E5" i="5"/>
  <c r="E875" i="5"/>
  <c r="E838" i="5"/>
  <c r="E794" i="5"/>
  <c r="E749" i="5"/>
  <c r="E711" i="5"/>
  <c r="E671" i="5"/>
  <c r="E629" i="5"/>
  <c r="E589" i="5"/>
  <c r="E545" i="5"/>
  <c r="E509" i="5"/>
  <c r="E478" i="5"/>
  <c r="E442" i="5"/>
  <c r="E409" i="5"/>
  <c r="E377" i="5"/>
  <c r="E346" i="5"/>
  <c r="E315" i="5"/>
  <c r="E289" i="5"/>
  <c r="E257" i="5"/>
  <c r="E874" i="5"/>
  <c r="E833" i="5"/>
  <c r="E869" i="5"/>
  <c r="E829" i="5"/>
  <c r="E783" i="5"/>
  <c r="E746" i="5"/>
  <c r="E706" i="5"/>
  <c r="E661" i="5"/>
  <c r="E623" i="5"/>
  <c r="E579" i="5"/>
  <c r="E541" i="5"/>
  <c r="E506" i="5"/>
  <c r="E469" i="5"/>
  <c r="E434" i="5"/>
  <c r="E406" i="5"/>
  <c r="E371" i="5"/>
  <c r="E338" i="5"/>
  <c r="E312" i="5"/>
  <c r="E280" i="5"/>
  <c r="E253" i="5"/>
  <c r="E227" i="5"/>
  <c r="E195" i="5"/>
  <c r="E169" i="5"/>
  <c r="E145" i="5"/>
  <c r="E118" i="5"/>
  <c r="E95" i="5"/>
  <c r="E77" i="5"/>
  <c r="E57" i="5"/>
  <c r="E37" i="5"/>
  <c r="E20" i="5"/>
  <c r="E867" i="5"/>
  <c r="E821" i="5"/>
  <c r="E782" i="5"/>
  <c r="E745" i="5"/>
  <c r="E701" i="5"/>
  <c r="E659" i="5"/>
  <c r="E622" i="5"/>
  <c r="E578" i="5"/>
  <c r="E538" i="5"/>
  <c r="E505" i="5"/>
  <c r="E466" i="5"/>
  <c r="E433" i="5"/>
  <c r="E401" i="5"/>
  <c r="E370" i="5"/>
  <c r="E337" i="5"/>
  <c r="E311" i="5"/>
  <c r="E279" i="5"/>
  <c r="E252" i="5"/>
  <c r="E226" i="5"/>
  <c r="E194" i="5"/>
  <c r="E168" i="5"/>
  <c r="E144" i="5"/>
  <c r="E116" i="5"/>
  <c r="E94" i="5"/>
  <c r="E76" i="5"/>
  <c r="E56" i="5"/>
  <c r="E36" i="5"/>
  <c r="E18" i="5"/>
  <c r="E866" i="5"/>
  <c r="E818" i="5"/>
  <c r="E781" i="5"/>
  <c r="E743" i="5"/>
  <c r="E695" i="5"/>
  <c r="E658" i="5"/>
  <c r="E617" i="5"/>
  <c r="E569" i="5"/>
  <c r="E533" i="5"/>
  <c r="E502" i="5"/>
  <c r="E459" i="5"/>
  <c r="E431" i="5"/>
  <c r="E399" i="5"/>
  <c r="E363" i="5"/>
  <c r="E335" i="5"/>
  <c r="E308" i="5"/>
  <c r="E276" i="5"/>
  <c r="E250" i="5"/>
  <c r="E221" i="5"/>
  <c r="E191" i="5"/>
  <c r="E166" i="5"/>
  <c r="E142" i="5"/>
  <c r="E112" i="5"/>
  <c r="E93" i="5"/>
  <c r="E855" i="5"/>
  <c r="E817" i="5"/>
  <c r="E779" i="5"/>
  <c r="E733" i="5"/>
  <c r="E694" i="5"/>
  <c r="E653" i="5"/>
  <c r="E613" i="5"/>
  <c r="E567" i="5"/>
  <c r="E531" i="5"/>
  <c r="E494" i="5"/>
  <c r="E458" i="5"/>
  <c r="E430" i="5"/>
  <c r="E395" i="5"/>
  <c r="E362" i="5"/>
  <c r="E334" i="5"/>
  <c r="E302" i="5"/>
  <c r="E275" i="5"/>
  <c r="E248" i="5"/>
  <c r="E217" i="5"/>
  <c r="E190" i="5"/>
  <c r="E164" i="5"/>
  <c r="E136" i="5"/>
  <c r="E111" i="5"/>
  <c r="E92" i="5"/>
  <c r="E71" i="5"/>
  <c r="E52" i="5"/>
  <c r="E34" i="5"/>
  <c r="E13" i="5"/>
  <c r="E854" i="5"/>
  <c r="E815" i="5"/>
  <c r="E778" i="5"/>
  <c r="E731" i="5"/>
  <c r="E689" i="5"/>
  <c r="E651" i="5"/>
  <c r="E605" i="5"/>
  <c r="E566" i="5"/>
  <c r="E530" i="5"/>
  <c r="E493" i="5"/>
  <c r="E457" i="5"/>
  <c r="E425" i="5"/>
  <c r="E394" i="5"/>
  <c r="E361" i="5"/>
  <c r="E332" i="5"/>
  <c r="E301" i="5"/>
  <c r="E274" i="5"/>
  <c r="E245" i="5"/>
  <c r="E216" i="5"/>
  <c r="E851" i="5"/>
  <c r="E814" i="5"/>
  <c r="E773" i="5"/>
  <c r="E725" i="5"/>
  <c r="E687" i="5"/>
  <c r="E785" i="5"/>
  <c r="E638" i="5"/>
  <c r="E518" i="5"/>
  <c r="E418" i="5"/>
  <c r="E323" i="5"/>
  <c r="E238" i="5"/>
  <c r="E173" i="5"/>
  <c r="E124" i="5"/>
  <c r="E80" i="5"/>
  <c r="E48" i="5"/>
  <c r="E12" i="5"/>
  <c r="E766" i="5"/>
  <c r="E625" i="5"/>
  <c r="E507" i="5"/>
  <c r="E407" i="5"/>
  <c r="E313" i="5"/>
  <c r="E230" i="5"/>
  <c r="E170" i="5"/>
  <c r="E122" i="5"/>
  <c r="E78" i="5"/>
  <c r="E47" i="5"/>
  <c r="E10" i="5"/>
  <c r="E761" i="5"/>
  <c r="E602" i="5"/>
  <c r="E490" i="5"/>
  <c r="E387" i="5"/>
  <c r="E298" i="5"/>
  <c r="E228" i="5"/>
  <c r="E162" i="5"/>
  <c r="E110" i="5"/>
  <c r="E74" i="5"/>
  <c r="E41" i="5"/>
  <c r="E9" i="5"/>
  <c r="E747" i="5"/>
  <c r="E601" i="5"/>
  <c r="E485" i="5"/>
  <c r="E386" i="5"/>
  <c r="E296" i="5"/>
  <c r="E212" i="5"/>
  <c r="E160" i="5"/>
  <c r="E109" i="5"/>
  <c r="E70" i="5"/>
  <c r="E38" i="5"/>
  <c r="E8" i="5"/>
  <c r="E723" i="5"/>
  <c r="E599" i="5"/>
  <c r="E482" i="5"/>
  <c r="E385" i="5"/>
  <c r="E293" i="5"/>
  <c r="E209" i="5"/>
  <c r="E156" i="5"/>
  <c r="E108" i="5"/>
  <c r="E68" i="5"/>
  <c r="E35" i="5"/>
  <c r="E4" i="5"/>
  <c r="E722" i="5"/>
  <c r="E587" i="5"/>
  <c r="E473" i="5"/>
  <c r="E375" i="5"/>
  <c r="E287" i="5"/>
  <c r="E208" i="5"/>
  <c r="E155" i="5"/>
  <c r="E107" i="5"/>
  <c r="E66" i="5"/>
  <c r="E33" i="5"/>
  <c r="E710" i="5"/>
  <c r="E565" i="5"/>
  <c r="E455" i="5"/>
  <c r="E359" i="5"/>
  <c r="E269" i="5"/>
  <c r="E204" i="5"/>
  <c r="E148" i="5"/>
  <c r="E98" i="5"/>
  <c r="E65" i="5"/>
  <c r="E32" i="5"/>
  <c r="E686" i="5"/>
  <c r="E563" i="5"/>
  <c r="E454" i="5"/>
  <c r="E358" i="5"/>
  <c r="E268" i="5"/>
  <c r="E202" i="5"/>
  <c r="E146" i="5"/>
  <c r="E96" i="5"/>
  <c r="E61" i="5"/>
  <c r="E28" i="5"/>
  <c r="E850" i="5"/>
  <c r="E685" i="5"/>
  <c r="E562" i="5"/>
  <c r="E449" i="5"/>
  <c r="E353" i="5"/>
  <c r="E267" i="5"/>
  <c r="E188" i="5"/>
  <c r="E135" i="5"/>
  <c r="E90" i="5"/>
  <c r="E60" i="5"/>
  <c r="E26" i="5"/>
  <c r="E845" i="5"/>
  <c r="E665" i="5"/>
  <c r="E542" i="5"/>
  <c r="E435" i="5"/>
  <c r="E339" i="5"/>
  <c r="E254" i="5"/>
  <c r="E184" i="5"/>
  <c r="E132" i="5"/>
  <c r="E89" i="5"/>
  <c r="E53" i="5"/>
  <c r="E22" i="5"/>
  <c r="E809" i="5"/>
  <c r="E650" i="5"/>
  <c r="E529" i="5"/>
  <c r="E423" i="5"/>
  <c r="E328" i="5"/>
  <c r="E243" i="5"/>
  <c r="E183" i="5"/>
  <c r="E131" i="5"/>
  <c r="E85" i="5"/>
  <c r="E50" i="5"/>
  <c r="E21" i="5"/>
  <c r="E17" i="5"/>
  <c r="E805" i="5"/>
  <c r="E639" i="5"/>
  <c r="E521" i="5"/>
  <c r="E419" i="5"/>
  <c r="E324" i="5"/>
  <c r="E182" i="5"/>
  <c r="E130" i="5"/>
  <c r="E84" i="5"/>
  <c r="E49" i="5"/>
  <c r="E239" i="5"/>
  <c r="F20" i="6"/>
  <c r="E20" i="6"/>
  <c r="C882" i="5"/>
  <c r="C870" i="5"/>
  <c r="C858" i="5"/>
  <c r="C846" i="5"/>
  <c r="C834" i="5"/>
  <c r="C822" i="5"/>
  <c r="C810" i="5"/>
  <c r="C798" i="5"/>
  <c r="C786" i="5"/>
  <c r="C774" i="5"/>
  <c r="C762" i="5"/>
  <c r="C750" i="5"/>
  <c r="C738" i="5"/>
  <c r="C726" i="5"/>
  <c r="C714" i="5"/>
  <c r="C702" i="5"/>
  <c r="C690" i="5"/>
  <c r="C678" i="5"/>
  <c r="C666" i="5"/>
  <c r="C654" i="5"/>
  <c r="C878" i="5"/>
  <c r="C866" i="5"/>
  <c r="C854" i="5"/>
  <c r="C842" i="5"/>
  <c r="C874" i="5"/>
  <c r="C860" i="5"/>
  <c r="C845" i="5"/>
  <c r="C831" i="5"/>
  <c r="C818" i="5"/>
  <c r="C805" i="5"/>
  <c r="C792" i="5"/>
  <c r="C779" i="5"/>
  <c r="C766" i="5"/>
  <c r="C753" i="5"/>
  <c r="C740" i="5"/>
  <c r="C727" i="5"/>
  <c r="C713" i="5"/>
  <c r="C700" i="5"/>
  <c r="C687" i="5"/>
  <c r="C674" i="5"/>
  <c r="C661" i="5"/>
  <c r="C648" i="5"/>
  <c r="C636" i="5"/>
  <c r="C624" i="5"/>
  <c r="C612" i="5"/>
  <c r="C600" i="5"/>
  <c r="C588" i="5"/>
  <c r="C576" i="5"/>
  <c r="C564" i="5"/>
  <c r="C552" i="5"/>
  <c r="C540" i="5"/>
  <c r="C528" i="5"/>
  <c r="C516" i="5"/>
  <c r="C504" i="5"/>
  <c r="C492" i="5"/>
  <c r="C480" i="5"/>
  <c r="C468" i="5"/>
  <c r="C456" i="5"/>
  <c r="C444" i="5"/>
  <c r="C432" i="5"/>
  <c r="C420" i="5"/>
  <c r="C408" i="5"/>
  <c r="C396" i="5"/>
  <c r="C384" i="5"/>
  <c r="C372" i="5"/>
  <c r="C360" i="5"/>
  <c r="C348" i="5"/>
  <c r="C336" i="5"/>
  <c r="C324" i="5"/>
  <c r="C312" i="5"/>
  <c r="C300" i="5"/>
  <c r="C288" i="5"/>
  <c r="C276" i="5"/>
  <c r="C264" i="5"/>
  <c r="C252" i="5"/>
  <c r="C240" i="5"/>
  <c r="C228" i="5"/>
  <c r="C216" i="5"/>
  <c r="C204" i="5"/>
  <c r="C192" i="5"/>
  <c r="C180" i="5"/>
  <c r="C168" i="5"/>
  <c r="C156" i="5"/>
  <c r="C144" i="5"/>
  <c r="C132" i="5"/>
  <c r="C120" i="5"/>
  <c r="C108" i="5"/>
  <c r="C96" i="5"/>
  <c r="C84" i="5"/>
  <c r="C72" i="5"/>
  <c r="C60" i="5"/>
  <c r="C48" i="5"/>
  <c r="C36" i="5"/>
  <c r="C24" i="5"/>
  <c r="C12" i="5"/>
  <c r="C873" i="5"/>
  <c r="C859" i="5"/>
  <c r="C844" i="5"/>
  <c r="C830" i="5"/>
  <c r="C817" i="5"/>
  <c r="C804" i="5"/>
  <c r="C791" i="5"/>
  <c r="C778" i="5"/>
  <c r="C765" i="5"/>
  <c r="C752" i="5"/>
  <c r="C739" i="5"/>
  <c r="C725" i="5"/>
  <c r="C712" i="5"/>
  <c r="C699" i="5"/>
  <c r="C686" i="5"/>
  <c r="C673" i="5"/>
  <c r="C660" i="5"/>
  <c r="C647" i="5"/>
  <c r="C635" i="5"/>
  <c r="C623" i="5"/>
  <c r="C611" i="5"/>
  <c r="C599" i="5"/>
  <c r="C587" i="5"/>
  <c r="C575" i="5"/>
  <c r="C563" i="5"/>
  <c r="C551" i="5"/>
  <c r="C539" i="5"/>
  <c r="C527" i="5"/>
  <c r="C515" i="5"/>
  <c r="C503" i="5"/>
  <c r="C491" i="5"/>
  <c r="C479" i="5"/>
  <c r="C467" i="5"/>
  <c r="C455" i="5"/>
  <c r="C443" i="5"/>
  <c r="C431" i="5"/>
  <c r="C419" i="5"/>
  <c r="C407" i="5"/>
  <c r="C395" i="5"/>
  <c r="C383" i="5"/>
  <c r="C371" i="5"/>
  <c r="C359" i="5"/>
  <c r="C347" i="5"/>
  <c r="C884" i="5"/>
  <c r="C869" i="5"/>
  <c r="C855" i="5"/>
  <c r="C840" i="5"/>
  <c r="C827" i="5"/>
  <c r="C814" i="5"/>
  <c r="C801" i="5"/>
  <c r="C788" i="5"/>
  <c r="C775" i="5"/>
  <c r="C761" i="5"/>
  <c r="C748" i="5"/>
  <c r="C735" i="5"/>
  <c r="C722" i="5"/>
  <c r="C709" i="5"/>
  <c r="C696" i="5"/>
  <c r="C683" i="5"/>
  <c r="C670" i="5"/>
  <c r="C657" i="5"/>
  <c r="C644" i="5"/>
  <c r="C632" i="5"/>
  <c r="C620" i="5"/>
  <c r="C608" i="5"/>
  <c r="C596" i="5"/>
  <c r="C584" i="5"/>
  <c r="C572" i="5"/>
  <c r="C560" i="5"/>
  <c r="C548" i="5"/>
  <c r="C536" i="5"/>
  <c r="C524" i="5"/>
  <c r="C512" i="5"/>
  <c r="C500" i="5"/>
  <c r="C488" i="5"/>
  <c r="C476" i="5"/>
  <c r="C464" i="5"/>
  <c r="C452" i="5"/>
  <c r="C440" i="5"/>
  <c r="C428" i="5"/>
  <c r="C416" i="5"/>
  <c r="C404" i="5"/>
  <c r="C392" i="5"/>
  <c r="C380" i="5"/>
  <c r="C368" i="5"/>
  <c r="C356" i="5"/>
  <c r="C344" i="5"/>
  <c r="C332" i="5"/>
  <c r="C320" i="5"/>
  <c r="C308" i="5"/>
  <c r="C296" i="5"/>
  <c r="C284" i="5"/>
  <c r="C272" i="5"/>
  <c r="C260" i="5"/>
  <c r="C248" i="5"/>
  <c r="C236" i="5"/>
  <c r="C224" i="5"/>
  <c r="C212" i="5"/>
  <c r="C200" i="5"/>
  <c r="C188" i="5"/>
  <c r="C876" i="5"/>
  <c r="C856" i="5"/>
  <c r="C837" i="5"/>
  <c r="C820" i="5"/>
  <c r="C802" i="5"/>
  <c r="C784" i="5"/>
  <c r="C768" i="5"/>
  <c r="C749" i="5"/>
  <c r="C732" i="5"/>
  <c r="C716" i="5"/>
  <c r="C697" i="5"/>
  <c r="C680" i="5"/>
  <c r="C663" i="5"/>
  <c r="C645" i="5"/>
  <c r="C629" i="5"/>
  <c r="C614" i="5"/>
  <c r="C597" i="5"/>
  <c r="C581" i="5"/>
  <c r="C566" i="5"/>
  <c r="C549" i="5"/>
  <c r="C533" i="5"/>
  <c r="C518" i="5"/>
  <c r="C501" i="5"/>
  <c r="C485" i="5"/>
  <c r="C470" i="5"/>
  <c r="C453" i="5"/>
  <c r="C437" i="5"/>
  <c r="C422" i="5"/>
  <c r="C405" i="5"/>
  <c r="C389" i="5"/>
  <c r="C374" i="5"/>
  <c r="C357" i="5"/>
  <c r="C341" i="5"/>
  <c r="C327" i="5"/>
  <c r="C313" i="5"/>
  <c r="C875" i="5"/>
  <c r="C853" i="5"/>
  <c r="C836" i="5"/>
  <c r="C819" i="5"/>
  <c r="C800" i="5"/>
  <c r="C783" i="5"/>
  <c r="C767" i="5"/>
  <c r="C747" i="5"/>
  <c r="C731" i="5"/>
  <c r="C715" i="5"/>
  <c r="C695" i="5"/>
  <c r="C679" i="5"/>
  <c r="C662" i="5"/>
  <c r="C643" i="5"/>
  <c r="C628" i="5"/>
  <c r="C613" i="5"/>
  <c r="C595" i="5"/>
  <c r="C580" i="5"/>
  <c r="C565" i="5"/>
  <c r="C547" i="5"/>
  <c r="C532" i="5"/>
  <c r="C517" i="5"/>
  <c r="C499" i="5"/>
  <c r="C484" i="5"/>
  <c r="C469" i="5"/>
  <c r="C451" i="5"/>
  <c r="C436" i="5"/>
  <c r="C421" i="5"/>
  <c r="C403" i="5"/>
  <c r="C388" i="5"/>
  <c r="C373" i="5"/>
  <c r="C355" i="5"/>
  <c r="C340" i="5"/>
  <c r="C326" i="5"/>
  <c r="C311" i="5"/>
  <c r="C297" i="5"/>
  <c r="C868" i="5"/>
  <c r="C850" i="5"/>
  <c r="C832" i="5"/>
  <c r="C813" i="5"/>
  <c r="C796" i="5"/>
  <c r="C780" i="5"/>
  <c r="C760" i="5"/>
  <c r="C744" i="5"/>
  <c r="C728" i="5"/>
  <c r="C708" i="5"/>
  <c r="C692" i="5"/>
  <c r="C675" i="5"/>
  <c r="C656" i="5"/>
  <c r="C640" i="5"/>
  <c r="C625" i="5"/>
  <c r="C607" i="5"/>
  <c r="C592" i="5"/>
  <c r="C577" i="5"/>
  <c r="C559" i="5"/>
  <c r="C544" i="5"/>
  <c r="C529" i="5"/>
  <c r="C511" i="5"/>
  <c r="C496" i="5"/>
  <c r="C481" i="5"/>
  <c r="C463" i="5"/>
  <c r="C448" i="5"/>
  <c r="C433" i="5"/>
  <c r="C415" i="5"/>
  <c r="C400" i="5"/>
  <c r="C385" i="5"/>
  <c r="C367" i="5"/>
  <c r="C352" i="5"/>
  <c r="C337" i="5"/>
  <c r="C322" i="5"/>
  <c r="C307" i="5"/>
  <c r="C293" i="5"/>
  <c r="C279" i="5"/>
  <c r="C265" i="5"/>
  <c r="C250" i="5"/>
  <c r="C235" i="5"/>
  <c r="C221" i="5"/>
  <c r="C207" i="5"/>
  <c r="C193" i="5"/>
  <c r="C178" i="5"/>
  <c r="C165" i="5"/>
  <c r="C152" i="5"/>
  <c r="C139" i="5"/>
  <c r="C126" i="5"/>
  <c r="C113" i="5"/>
  <c r="C100" i="5"/>
  <c r="C87" i="5"/>
  <c r="C74" i="5"/>
  <c r="C61" i="5"/>
  <c r="C47" i="5"/>
  <c r="C34" i="5"/>
  <c r="C21" i="5"/>
  <c r="C8" i="5"/>
  <c r="C886" i="5"/>
  <c r="C867" i="5"/>
  <c r="C849" i="5"/>
  <c r="C829" i="5"/>
  <c r="C812" i="5"/>
  <c r="C795" i="5"/>
  <c r="C777" i="5"/>
  <c r="C759" i="5"/>
  <c r="C743" i="5"/>
  <c r="C724" i="5"/>
  <c r="C707" i="5"/>
  <c r="C691" i="5"/>
  <c r="C672" i="5"/>
  <c r="C655" i="5"/>
  <c r="C639" i="5"/>
  <c r="C622" i="5"/>
  <c r="C606" i="5"/>
  <c r="C591" i="5"/>
  <c r="C574" i="5"/>
  <c r="C558" i="5"/>
  <c r="C543" i="5"/>
  <c r="C526" i="5"/>
  <c r="C510" i="5"/>
  <c r="C495" i="5"/>
  <c r="C478" i="5"/>
  <c r="C462" i="5"/>
  <c r="C447" i="5"/>
  <c r="C430" i="5"/>
  <c r="C414" i="5"/>
  <c r="C399" i="5"/>
  <c r="C382" i="5"/>
  <c r="C366" i="5"/>
  <c r="C351" i="5"/>
  <c r="C335" i="5"/>
  <c r="C321" i="5"/>
  <c r="C306" i="5"/>
  <c r="C292" i="5"/>
  <c r="C278" i="5"/>
  <c r="C263" i="5"/>
  <c r="C249" i="5"/>
  <c r="C234" i="5"/>
  <c r="C220" i="5"/>
  <c r="C206" i="5"/>
  <c r="C191" i="5"/>
  <c r="C177" i="5"/>
  <c r="C164" i="5"/>
  <c r="C151" i="5"/>
  <c r="C138" i="5"/>
  <c r="C125" i="5"/>
  <c r="C112" i="5"/>
  <c r="C99" i="5"/>
  <c r="C86" i="5"/>
  <c r="C73" i="5"/>
  <c r="C883" i="5"/>
  <c r="C864" i="5"/>
  <c r="C847" i="5"/>
  <c r="C826" i="5"/>
  <c r="C809" i="5"/>
  <c r="C793" i="5"/>
  <c r="C773" i="5"/>
  <c r="C757" i="5"/>
  <c r="C741" i="5"/>
  <c r="C721" i="5"/>
  <c r="C705" i="5"/>
  <c r="C688" i="5"/>
  <c r="C669" i="5"/>
  <c r="C652" i="5"/>
  <c r="C637" i="5"/>
  <c r="C619" i="5"/>
  <c r="C604" i="5"/>
  <c r="C589" i="5"/>
  <c r="C571" i="5"/>
  <c r="C556" i="5"/>
  <c r="C541" i="5"/>
  <c r="C523" i="5"/>
  <c r="C508" i="5"/>
  <c r="C872" i="5"/>
  <c r="C839" i="5"/>
  <c r="C808" i="5"/>
  <c r="C781" i="5"/>
  <c r="C751" i="5"/>
  <c r="C719" i="5"/>
  <c r="C689" i="5"/>
  <c r="C659" i="5"/>
  <c r="C631" i="5"/>
  <c r="C603" i="5"/>
  <c r="C578" i="5"/>
  <c r="C550" i="5"/>
  <c r="C521" i="5"/>
  <c r="C494" i="5"/>
  <c r="C472" i="5"/>
  <c r="C446" i="5"/>
  <c r="C424" i="5"/>
  <c r="C398" i="5"/>
  <c r="C376" i="5"/>
  <c r="C350" i="5"/>
  <c r="C329" i="5"/>
  <c r="C305" i="5"/>
  <c r="C287" i="5"/>
  <c r="C270" i="5"/>
  <c r="C254" i="5"/>
  <c r="C237" i="5"/>
  <c r="C218" i="5"/>
  <c r="C201" i="5"/>
  <c r="C184" i="5"/>
  <c r="C169" i="5"/>
  <c r="C153" i="5"/>
  <c r="C136" i="5"/>
  <c r="C121" i="5"/>
  <c r="C105" i="5"/>
  <c r="C90" i="5"/>
  <c r="C75" i="5"/>
  <c r="C58" i="5"/>
  <c r="C44" i="5"/>
  <c r="C30" i="5"/>
  <c r="C16" i="5"/>
  <c r="C871" i="5"/>
  <c r="C838" i="5"/>
  <c r="C807" i="5"/>
  <c r="C776" i="5"/>
  <c r="C746" i="5"/>
  <c r="C718" i="5"/>
  <c r="C685" i="5"/>
  <c r="C658" i="5"/>
  <c r="C630" i="5"/>
  <c r="C602" i="5"/>
  <c r="C573" i="5"/>
  <c r="C546" i="5"/>
  <c r="C520" i="5"/>
  <c r="C493" i="5"/>
  <c r="C471" i="5"/>
  <c r="C445" i="5"/>
  <c r="C423" i="5"/>
  <c r="C397" i="5"/>
  <c r="C375" i="5"/>
  <c r="C349" i="5"/>
  <c r="C328" i="5"/>
  <c r="C304" i="5"/>
  <c r="C286" i="5"/>
  <c r="C269" i="5"/>
  <c r="C253" i="5"/>
  <c r="C233" i="5"/>
  <c r="C217" i="5"/>
  <c r="C199" i="5"/>
  <c r="C183" i="5"/>
  <c r="C167" i="5"/>
  <c r="C150" i="5"/>
  <c r="C135" i="5"/>
  <c r="C119" i="5"/>
  <c r="C104" i="5"/>
  <c r="C89" i="5"/>
  <c r="C71" i="5"/>
  <c r="C57" i="5"/>
  <c r="C43" i="5"/>
  <c r="C29" i="5"/>
  <c r="C15" i="5"/>
  <c r="C2" i="5"/>
  <c r="F2" i="5" s="1"/>
  <c r="C865" i="5"/>
  <c r="C835" i="5"/>
  <c r="C806" i="5"/>
  <c r="C772" i="5"/>
  <c r="C745" i="5"/>
  <c r="C717" i="5"/>
  <c r="C684" i="5"/>
  <c r="C653" i="5"/>
  <c r="C627" i="5"/>
  <c r="C601" i="5"/>
  <c r="C570" i="5"/>
  <c r="C545" i="5"/>
  <c r="C519" i="5"/>
  <c r="C490" i="5"/>
  <c r="C466" i="5"/>
  <c r="C442" i="5"/>
  <c r="C418" i="5"/>
  <c r="C394" i="5"/>
  <c r="C370" i="5"/>
  <c r="C346" i="5"/>
  <c r="C325" i="5"/>
  <c r="C303" i="5"/>
  <c r="C285" i="5"/>
  <c r="C268" i="5"/>
  <c r="C251" i="5"/>
  <c r="C232" i="5"/>
  <c r="C215" i="5"/>
  <c r="C198" i="5"/>
  <c r="C182" i="5"/>
  <c r="C166" i="5"/>
  <c r="C149" i="5"/>
  <c r="C134" i="5"/>
  <c r="C118" i="5"/>
  <c r="C103" i="5"/>
  <c r="C88" i="5"/>
  <c r="C70" i="5"/>
  <c r="C56" i="5"/>
  <c r="C42" i="5"/>
  <c r="C28" i="5"/>
  <c r="C14" i="5"/>
  <c r="C863" i="5"/>
  <c r="C833" i="5"/>
  <c r="C803" i="5"/>
  <c r="C771" i="5"/>
  <c r="C742" i="5"/>
  <c r="C711" i="5"/>
  <c r="C682" i="5"/>
  <c r="C651" i="5"/>
  <c r="C626" i="5"/>
  <c r="C598" i="5"/>
  <c r="C569" i="5"/>
  <c r="C542" i="5"/>
  <c r="C514" i="5"/>
  <c r="C489" i="5"/>
  <c r="C465" i="5"/>
  <c r="C441" i="5"/>
  <c r="C417" i="5"/>
  <c r="C393" i="5"/>
  <c r="C369" i="5"/>
  <c r="C345" i="5"/>
  <c r="C323" i="5"/>
  <c r="C302" i="5"/>
  <c r="C283" i="5"/>
  <c r="C267" i="5"/>
  <c r="C247" i="5"/>
  <c r="C231" i="5"/>
  <c r="C214" i="5"/>
  <c r="C197" i="5"/>
  <c r="C181" i="5"/>
  <c r="C163" i="5"/>
  <c r="C148" i="5"/>
  <c r="C133" i="5"/>
  <c r="C117" i="5"/>
  <c r="C102" i="5"/>
  <c r="C85" i="5"/>
  <c r="C69" i="5"/>
  <c r="C55" i="5"/>
  <c r="C41" i="5"/>
  <c r="C27" i="5"/>
  <c r="C13" i="5"/>
  <c r="C862" i="5"/>
  <c r="C828" i="5"/>
  <c r="C799" i="5"/>
  <c r="C770" i="5"/>
  <c r="C737" i="5"/>
  <c r="C710" i="5"/>
  <c r="C681" i="5"/>
  <c r="C650" i="5"/>
  <c r="C621" i="5"/>
  <c r="C594" i="5"/>
  <c r="C568" i="5"/>
  <c r="C538" i="5"/>
  <c r="C513" i="5"/>
  <c r="C487" i="5"/>
  <c r="C461" i="5"/>
  <c r="C439" i="5"/>
  <c r="C413" i="5"/>
  <c r="C391" i="5"/>
  <c r="C365" i="5"/>
  <c r="C343" i="5"/>
  <c r="C319" i="5"/>
  <c r="C301" i="5"/>
  <c r="C282" i="5"/>
  <c r="C266" i="5"/>
  <c r="C246" i="5"/>
  <c r="C230" i="5"/>
  <c r="C213" i="5"/>
  <c r="C196" i="5"/>
  <c r="C179" i="5"/>
  <c r="C162" i="5"/>
  <c r="C147" i="5"/>
  <c r="C131" i="5"/>
  <c r="C116" i="5"/>
  <c r="C101" i="5"/>
  <c r="C83" i="5"/>
  <c r="C68" i="5"/>
  <c r="C54" i="5"/>
  <c r="C40" i="5"/>
  <c r="C26" i="5"/>
  <c r="C11" i="5"/>
  <c r="C857" i="5"/>
  <c r="C824" i="5"/>
  <c r="C794" i="5"/>
  <c r="C764" i="5"/>
  <c r="C734" i="5"/>
  <c r="C704" i="5"/>
  <c r="C676" i="5"/>
  <c r="C646" i="5"/>
  <c r="C617" i="5"/>
  <c r="C590" i="5"/>
  <c r="C562" i="5"/>
  <c r="C535" i="5"/>
  <c r="C507" i="5"/>
  <c r="C483" i="5"/>
  <c r="C459" i="5"/>
  <c r="C435" i="5"/>
  <c r="C411" i="5"/>
  <c r="C387" i="5"/>
  <c r="C363" i="5"/>
  <c r="C339" i="5"/>
  <c r="C317" i="5"/>
  <c r="C298" i="5"/>
  <c r="C280" i="5"/>
  <c r="C261" i="5"/>
  <c r="C244" i="5"/>
  <c r="C227" i="5"/>
  <c r="C210" i="5"/>
  <c r="C194" i="5"/>
  <c r="C175" i="5"/>
  <c r="C160" i="5"/>
  <c r="C145" i="5"/>
  <c r="C129" i="5"/>
  <c r="C114" i="5"/>
  <c r="C97" i="5"/>
  <c r="C81" i="5"/>
  <c r="C66" i="5"/>
  <c r="C52" i="5"/>
  <c r="C38" i="5"/>
  <c r="C23" i="5"/>
  <c r="C9" i="5"/>
  <c r="C885" i="5"/>
  <c r="C852" i="5"/>
  <c r="C823" i="5"/>
  <c r="C790" i="5"/>
  <c r="C763" i="5"/>
  <c r="C733" i="5"/>
  <c r="C703" i="5"/>
  <c r="C671" i="5"/>
  <c r="C642" i="5"/>
  <c r="C616" i="5"/>
  <c r="C586" i="5"/>
  <c r="C561" i="5"/>
  <c r="C534" i="5"/>
  <c r="C506" i="5"/>
  <c r="C482" i="5"/>
  <c r="C458" i="5"/>
  <c r="C434" i="5"/>
  <c r="C410" i="5"/>
  <c r="C386" i="5"/>
  <c r="C362" i="5"/>
  <c r="C338" i="5"/>
  <c r="C316" i="5"/>
  <c r="C295" i="5"/>
  <c r="C277" i="5"/>
  <c r="C259" i="5"/>
  <c r="C243" i="5"/>
  <c r="C226" i="5"/>
  <c r="C209" i="5"/>
  <c r="C190" i="5"/>
  <c r="C174" i="5"/>
  <c r="C159" i="5"/>
  <c r="C143" i="5"/>
  <c r="C128" i="5"/>
  <c r="C111" i="5"/>
  <c r="C95" i="5"/>
  <c r="C80" i="5"/>
  <c r="C65" i="5"/>
  <c r="C51" i="5"/>
  <c r="C37" i="5"/>
  <c r="C22" i="5"/>
  <c r="C7" i="5"/>
  <c r="C881" i="5"/>
  <c r="C851" i="5"/>
  <c r="C821" i="5"/>
  <c r="C789" i="5"/>
  <c r="C758" i="5"/>
  <c r="C730" i="5"/>
  <c r="C701" i="5"/>
  <c r="C668" i="5"/>
  <c r="C641" i="5"/>
  <c r="C615" i="5"/>
  <c r="C585" i="5"/>
  <c r="C557" i="5"/>
  <c r="C531" i="5"/>
  <c r="C505" i="5"/>
  <c r="C477" i="5"/>
  <c r="C457" i="5"/>
  <c r="C429" i="5"/>
  <c r="C409" i="5"/>
  <c r="C381" i="5"/>
  <c r="C361" i="5"/>
  <c r="C334" i="5"/>
  <c r="C315" i="5"/>
  <c r="C294" i="5"/>
  <c r="C275" i="5"/>
  <c r="C258" i="5"/>
  <c r="C242" i="5"/>
  <c r="C225" i="5"/>
  <c r="C208" i="5"/>
  <c r="C189" i="5"/>
  <c r="C173" i="5"/>
  <c r="C158" i="5"/>
  <c r="C142" i="5"/>
  <c r="C127" i="5"/>
  <c r="C110" i="5"/>
  <c r="C94" i="5"/>
  <c r="C79" i="5"/>
  <c r="C64" i="5"/>
  <c r="C50" i="5"/>
  <c r="C35" i="5"/>
  <c r="C20" i="5"/>
  <c r="C6" i="5"/>
  <c r="C880" i="5"/>
  <c r="C848" i="5"/>
  <c r="C816" i="5"/>
  <c r="C787" i="5"/>
  <c r="C756" i="5"/>
  <c r="C729" i="5"/>
  <c r="C698" i="5"/>
  <c r="C667" i="5"/>
  <c r="C638" i="5"/>
  <c r="C610" i="5"/>
  <c r="C583" i="5"/>
  <c r="C555" i="5"/>
  <c r="C530" i="5"/>
  <c r="C502" i="5"/>
  <c r="C475" i="5"/>
  <c r="C454" i="5"/>
  <c r="C427" i="5"/>
  <c r="C406" i="5"/>
  <c r="C379" i="5"/>
  <c r="C358" i="5"/>
  <c r="C333" i="5"/>
  <c r="C314" i="5"/>
  <c r="C291" i="5"/>
  <c r="C274" i="5"/>
  <c r="C257" i="5"/>
  <c r="C241" i="5"/>
  <c r="C223" i="5"/>
  <c r="C205" i="5"/>
  <c r="C187" i="5"/>
  <c r="C172" i="5"/>
  <c r="C157" i="5"/>
  <c r="C141" i="5"/>
  <c r="C124" i="5"/>
  <c r="C109" i="5"/>
  <c r="C93" i="5"/>
  <c r="C78" i="5"/>
  <c r="C63" i="5"/>
  <c r="C49" i="5"/>
  <c r="C33" i="5"/>
  <c r="C19" i="5"/>
  <c r="C5" i="5"/>
  <c r="C879" i="5"/>
  <c r="C843" i="5"/>
  <c r="C815" i="5"/>
  <c r="C785" i="5"/>
  <c r="C755" i="5"/>
  <c r="C723" i="5"/>
  <c r="C694" i="5"/>
  <c r="C665" i="5"/>
  <c r="C634" i="5"/>
  <c r="C609" i="5"/>
  <c r="C582" i="5"/>
  <c r="C554" i="5"/>
  <c r="C525" i="5"/>
  <c r="C498" i="5"/>
  <c r="C474" i="5"/>
  <c r="C450" i="5"/>
  <c r="C426" i="5"/>
  <c r="C402" i="5"/>
  <c r="C378" i="5"/>
  <c r="C354" i="5"/>
  <c r="C331" i="5"/>
  <c r="C310" i="5"/>
  <c r="C290" i="5"/>
  <c r="C273" i="5"/>
  <c r="C256" i="5"/>
  <c r="C239" i="5"/>
  <c r="C222" i="5"/>
  <c r="C203" i="5"/>
  <c r="C186" i="5"/>
  <c r="C171" i="5"/>
  <c r="C155" i="5"/>
  <c r="C140" i="5"/>
  <c r="C123" i="5"/>
  <c r="C107" i="5"/>
  <c r="C92" i="5"/>
  <c r="C77" i="5"/>
  <c r="C62" i="5"/>
  <c r="C46" i="5"/>
  <c r="C32" i="5"/>
  <c r="C18" i="5"/>
  <c r="C4" i="5"/>
  <c r="C720" i="5"/>
  <c r="C553" i="5"/>
  <c r="C401" i="5"/>
  <c r="C271" i="5"/>
  <c r="C170" i="5"/>
  <c r="C76" i="5"/>
  <c r="C706" i="5"/>
  <c r="C537" i="5"/>
  <c r="C390" i="5"/>
  <c r="C262" i="5"/>
  <c r="C161" i="5"/>
  <c r="C67" i="5"/>
  <c r="C877" i="5"/>
  <c r="C693" i="5"/>
  <c r="C522" i="5"/>
  <c r="C377" i="5"/>
  <c r="C255" i="5"/>
  <c r="C154" i="5"/>
  <c r="C59" i="5"/>
  <c r="C861" i="5"/>
  <c r="C677" i="5"/>
  <c r="C509" i="5"/>
  <c r="C364" i="5"/>
  <c r="C245" i="5"/>
  <c r="C146" i="5"/>
  <c r="C53" i="5"/>
  <c r="C841" i="5"/>
  <c r="C664" i="5"/>
  <c r="C497" i="5"/>
  <c r="C353" i="5"/>
  <c r="C238" i="5"/>
  <c r="C137" i="5"/>
  <c r="C45" i="5"/>
  <c r="C825" i="5"/>
  <c r="C649" i="5"/>
  <c r="C486" i="5"/>
  <c r="C342" i="5"/>
  <c r="C229" i="5"/>
  <c r="C130" i="5"/>
  <c r="C39" i="5"/>
  <c r="C811" i="5"/>
  <c r="C633" i="5"/>
  <c r="C473" i="5"/>
  <c r="C330" i="5"/>
  <c r="C219" i="5"/>
  <c r="C122" i="5"/>
  <c r="C31" i="5"/>
  <c r="C782" i="5"/>
  <c r="C605" i="5"/>
  <c r="C449" i="5"/>
  <c r="C309" i="5"/>
  <c r="C202" i="5"/>
  <c r="C106" i="5"/>
  <c r="C17" i="5"/>
  <c r="C769" i="5"/>
  <c r="C593" i="5"/>
  <c r="C438" i="5"/>
  <c r="C299" i="5"/>
  <c r="C195" i="5"/>
  <c r="C98" i="5"/>
  <c r="C10" i="5"/>
  <c r="C754" i="5"/>
  <c r="C579" i="5"/>
  <c r="C425" i="5"/>
  <c r="C289" i="5"/>
  <c r="C185" i="5"/>
  <c r="C91" i="5"/>
  <c r="C3" i="5"/>
  <c r="F3" i="5" s="1" a="1"/>
  <c r="C736" i="5"/>
  <c r="C567" i="5"/>
  <c r="C412" i="5"/>
  <c r="C281" i="5"/>
  <c r="C176" i="5"/>
  <c r="C82" i="5"/>
  <c r="C318" i="5"/>
  <c r="C797" i="5"/>
  <c r="C618" i="5"/>
  <c r="C460" i="5"/>
  <c r="C115" i="5"/>
  <c r="C25" i="5"/>
  <c r="C211" i="5"/>
  <c r="G20" i="6"/>
  <c r="H20" i="6" l="1"/>
  <c r="F177" i="5"/>
  <c r="F165" i="5"/>
  <c r="F153" i="5"/>
  <c r="F141" i="5"/>
  <c r="F129" i="5"/>
  <c r="F117" i="5"/>
  <c r="F105" i="5"/>
  <c r="F93" i="5"/>
  <c r="F81" i="5"/>
  <c r="F69" i="5"/>
  <c r="F57" i="5"/>
  <c r="F45" i="5"/>
  <c r="F33" i="5"/>
  <c r="F21" i="5"/>
  <c r="F9" i="5"/>
  <c r="F176" i="5"/>
  <c r="F164" i="5"/>
  <c r="F152" i="5"/>
  <c r="F140" i="5"/>
  <c r="F128" i="5"/>
  <c r="F116" i="5"/>
  <c r="F104" i="5"/>
  <c r="F92" i="5"/>
  <c r="F80" i="5"/>
  <c r="F68" i="5"/>
  <c r="F56" i="5"/>
  <c r="F44" i="5"/>
  <c r="F32" i="5"/>
  <c r="F20" i="5"/>
  <c r="F8" i="5"/>
  <c r="F175" i="5"/>
  <c r="F163" i="5"/>
  <c r="F151" i="5"/>
  <c r="F139" i="5"/>
  <c r="F127" i="5"/>
  <c r="F115" i="5"/>
  <c r="F103" i="5"/>
  <c r="F91" i="5"/>
  <c r="F79" i="5"/>
  <c r="F67" i="5"/>
  <c r="F55" i="5"/>
  <c r="F43" i="5"/>
  <c r="F31" i="5"/>
  <c r="F19" i="5"/>
  <c r="F7" i="5"/>
  <c r="F174" i="5"/>
  <c r="F162" i="5"/>
  <c r="F150" i="5"/>
  <c r="F138" i="5"/>
  <c r="F126" i="5"/>
  <c r="F114" i="5"/>
  <c r="F102" i="5"/>
  <c r="F90" i="5"/>
  <c r="F78" i="5"/>
  <c r="F66" i="5"/>
  <c r="F54" i="5"/>
  <c r="F42" i="5"/>
  <c r="F30" i="5"/>
  <c r="F18" i="5"/>
  <c r="F6" i="5"/>
  <c r="F184" i="5"/>
  <c r="F168" i="5"/>
  <c r="F148" i="5"/>
  <c r="F132" i="5"/>
  <c r="F112" i="5"/>
  <c r="F96" i="5"/>
  <c r="F76" i="5"/>
  <c r="F60" i="5"/>
  <c r="F40" i="5"/>
  <c r="F24" i="5"/>
  <c r="F4" i="5"/>
  <c r="F183" i="5"/>
  <c r="F167" i="5"/>
  <c r="F147" i="5"/>
  <c r="F131" i="5"/>
  <c r="F111" i="5"/>
  <c r="F95" i="5"/>
  <c r="F75" i="5"/>
  <c r="F59" i="5"/>
  <c r="F39" i="5"/>
  <c r="F23" i="5"/>
  <c r="F180" i="5"/>
  <c r="F160" i="5"/>
  <c r="F144" i="5"/>
  <c r="F124" i="5"/>
  <c r="F108" i="5"/>
  <c r="F88" i="5"/>
  <c r="F72" i="5"/>
  <c r="F52" i="5"/>
  <c r="F36" i="5"/>
  <c r="F16" i="5"/>
  <c r="F172" i="5"/>
  <c r="F156" i="5"/>
  <c r="F136" i="5"/>
  <c r="F120" i="5"/>
  <c r="F100" i="5"/>
  <c r="F84" i="5"/>
  <c r="F64" i="5"/>
  <c r="F48" i="5"/>
  <c r="F28" i="5"/>
  <c r="F12" i="5"/>
  <c r="F171" i="5"/>
  <c r="F155" i="5"/>
  <c r="F135" i="5"/>
  <c r="F119" i="5"/>
  <c r="F99" i="5"/>
  <c r="F83" i="5"/>
  <c r="F63" i="5"/>
  <c r="F47" i="5"/>
  <c r="F27" i="5"/>
  <c r="F11" i="5"/>
  <c r="F170" i="5"/>
  <c r="F154" i="5"/>
  <c r="F134" i="5"/>
  <c r="F118" i="5"/>
  <c r="F98" i="5"/>
  <c r="F82" i="5"/>
  <c r="F62" i="5"/>
  <c r="F46" i="5"/>
  <c r="F26" i="5"/>
  <c r="F10" i="5"/>
  <c r="F182" i="5"/>
  <c r="F146" i="5"/>
  <c r="F110" i="5"/>
  <c r="F74" i="5"/>
  <c r="F38" i="5"/>
  <c r="F3" i="5"/>
  <c r="F181" i="5"/>
  <c r="F145" i="5"/>
  <c r="F109" i="5"/>
  <c r="F73" i="5"/>
  <c r="F37" i="5"/>
  <c r="F173" i="5"/>
  <c r="F137" i="5"/>
  <c r="F101" i="5"/>
  <c r="F65" i="5"/>
  <c r="F29" i="5"/>
  <c r="F179" i="5"/>
  <c r="F130" i="5"/>
  <c r="F86" i="5"/>
  <c r="F35" i="5"/>
  <c r="F178" i="5"/>
  <c r="F125" i="5"/>
  <c r="F85" i="5"/>
  <c r="F34" i="5"/>
  <c r="F169" i="5"/>
  <c r="F123" i="5"/>
  <c r="F77" i="5"/>
  <c r="F25" i="5"/>
  <c r="F166" i="5"/>
  <c r="F122" i="5"/>
  <c r="F71" i="5"/>
  <c r="F22" i="5"/>
  <c r="F161" i="5"/>
  <c r="F121" i="5"/>
  <c r="F70" i="5"/>
  <c r="F17" i="5"/>
  <c r="F159" i="5"/>
  <c r="F113" i="5"/>
  <c r="F61" i="5"/>
  <c r="F15" i="5"/>
  <c r="F158" i="5"/>
  <c r="F107" i="5"/>
  <c r="F58" i="5"/>
  <c r="F14" i="5"/>
  <c r="F157" i="5"/>
  <c r="F106" i="5"/>
  <c r="F53" i="5"/>
  <c r="F13" i="5"/>
  <c r="F149" i="5"/>
  <c r="F97" i="5"/>
  <c r="F51" i="5"/>
  <c r="F5" i="5"/>
  <c r="F143" i="5"/>
  <c r="F94" i="5"/>
  <c r="F50" i="5"/>
  <c r="F142" i="5"/>
  <c r="F133" i="5"/>
  <c r="F89" i="5"/>
  <c r="F87" i="5"/>
  <c r="F49" i="5"/>
  <c r="F41" i="5"/>
  <c r="F185" i="5"/>
</calcChain>
</file>

<file path=xl/sharedStrings.xml><?xml version="1.0" encoding="utf-8"?>
<sst xmlns="http://schemas.openxmlformats.org/spreadsheetml/2006/main" count="294" uniqueCount="132">
  <si>
    <t>פרמטר</t>
  </si>
  <si>
    <t>ערך</t>
  </si>
  <si>
    <t>שנת עבודה</t>
  </si>
  <si>
    <t>יתרת פתיחה</t>
  </si>
  <si>
    <t>חודש התחלה</t>
  </si>
  <si>
    <t>חודש סיום</t>
  </si>
  <si>
    <t>שם ארגון</t>
  </si>
  <si>
    <t>תעשיידע</t>
  </si>
  <si>
    <t>יום בחודש</t>
  </si>
  <si>
    <t>קטגוריה</t>
  </si>
  <si>
    <t>פירוט</t>
  </si>
  <si>
    <t>הלוואה</t>
  </si>
  <si>
    <t>שכר</t>
  </si>
  <si>
    <t>שכר מטה</t>
  </si>
  <si>
    <t>שכר בסיס (יעל אביב)</t>
  </si>
  <si>
    <t>שכר מדריכים</t>
  </si>
  <si>
    <t>שכר מדריכים-כ"א</t>
  </si>
  <si>
    <t>נלוות לשכר</t>
  </si>
  <si>
    <t>גמל ופנסיה</t>
  </si>
  <si>
    <t>ביטוח לאומי</t>
  </si>
  <si>
    <t>מס הכנסה</t>
  </si>
  <si>
    <t>עמלות (יעל אביב)</t>
  </si>
  <si>
    <t>משפטיות</t>
  </si>
  <si>
    <t>שלומית משה</t>
  </si>
  <si>
    <t>ביטוח</t>
  </si>
  <si>
    <t>-</t>
  </si>
  <si>
    <t>אורות</t>
  </si>
  <si>
    <t>תקשורת</t>
  </si>
  <si>
    <t>גיבוי</t>
  </si>
  <si>
    <t>פעילויות</t>
  </si>
  <si>
    <t>הארה</t>
  </si>
  <si>
    <t>קשרי חוץ</t>
  </si>
  <si>
    <t>בוריס</t>
  </si>
  <si>
    <t>משרדיות</t>
  </si>
  <si>
    <t>ארכיב</t>
  </si>
  <si>
    <t>הסעות</t>
  </si>
  <si>
    <t>אגרות ובנקים</t>
  </si>
  <si>
    <t>אגרה</t>
  </si>
  <si>
    <t>בנקים</t>
  </si>
  <si>
    <t>עובדים</t>
  </si>
  <si>
    <t>מתנות לעובדים</t>
  </si>
  <si>
    <t>כיבוד</t>
  </si>
  <si>
    <t>טלפונים</t>
  </si>
  <si>
    <t>דואר ומשלוחים</t>
  </si>
  <si>
    <t>חניות</t>
  </si>
  <si>
    <t>נותני שירות</t>
  </si>
  <si>
    <t>הנהלת חשבונות</t>
  </si>
  <si>
    <t>השכרת משרד</t>
  </si>
  <si>
    <t>דפוס</t>
  </si>
  <si>
    <t>חובות ישנים</t>
  </si>
  <si>
    <t>חשבון</t>
  </si>
  <si>
    <t>סכום</t>
  </si>
  <si>
    <t>צפי תשלום</t>
  </si>
  <si>
    <t>הערות</t>
  </si>
  <si>
    <t>מימון</t>
  </si>
  <si>
    <t>בי"ס אלומה בנים - שפיר</t>
  </si>
  <si>
    <t>התוכנית הסתיימה - מוריה לא עונה לי בזמנו טענה שהיא לא אמורה לשלם .</t>
  </si>
  <si>
    <t>גפן</t>
  </si>
  <si>
    <t>בי"ס גולדה נהריה</t>
  </si>
  <si>
    <t>תשלום שני יבוצע בסיום הפיעליות ב 5.26</t>
  </si>
  <si>
    <t>יד בנימין</t>
  </si>
  <si>
    <t>בי"ס צאלון באר יעקב 410100</t>
  </si>
  <si>
    <t>רחלי בודקת מול המנהלת ותוציא לנו שיק בווצאפ</t>
  </si>
  <si>
    <t>חברת אדמה</t>
  </si>
  <si>
    <t>שלחו הודעת תשלום ב 10.2.26</t>
  </si>
  <si>
    <t>תעשיינים</t>
  </si>
  <si>
    <t>מקורות חברת המים הלאומית</t>
  </si>
  <si>
    <t>התוכנית עדין לא הסתיימה והם משלמים בסיום התוכנית לפי דוח ביצוע</t>
  </si>
  <si>
    <t>מקורות</t>
  </si>
  <si>
    <t>תמר אריאל 470187</t>
  </si>
  <si>
    <t>בת שבע צריכה לעדכן השבוע</t>
  </si>
  <si>
    <t>מתנ״ס בנימינה</t>
  </si>
  <si>
    <t>מתנ"ס</t>
  </si>
  <si>
    <t>סיורים</t>
  </si>
  <si>
    <t>בי"ס מקיף ט' אשדוד</t>
  </si>
  <si>
    <t>דיברתי עם נונה 10.2 והיא טרם קיבלה אישור לתשלום בודקת שוב את הנושא</t>
  </si>
  <si>
    <t>מועצה אזורית אשכול</t>
  </si>
  <si>
    <t>תוכנויות מוקפאות</t>
  </si>
  <si>
    <t>רשות</t>
  </si>
  <si>
    <t>בי"ס ישיבת אבירי יעקב נהריה</t>
  </si>
  <si>
    <t>מסתיים הקורס - התכתבתי עם משה אלבז והוא מעביר להנה"ח אולי יוקדם התש'</t>
  </si>
  <si>
    <t>בר אילן בנות נתניה</t>
  </si>
  <si>
    <t>לא עונים בטלפון שלחתי שוב מייל עם בקשה לתשלום.</t>
  </si>
  <si>
    <t>מעוצה אזורית עמק הירדן</t>
  </si>
  <si>
    <t>להתקשר למועצה אזורית לרותם או שאולי</t>
  </si>
  <si>
    <t>בי"ס יצחק שמיר רמלה</t>
  </si>
  <si>
    <t>שלחתי הודעה למירב 10.2 והיא שאלה כמה הנחה היא קיבלה ועדין לא הגיבה אחרי</t>
  </si>
  <si>
    <t>מקיף ה כללי אשדוד 640672</t>
  </si>
  <si>
    <t>מיכאל ישלם בסוף הפעיליות</t>
  </si>
  <si>
    <t>חברת תאגיד תמיר</t>
  </si>
  <si>
    <t>תמיר</t>
  </si>
  <si>
    <t>אסם</t>
  </si>
  <si>
    <t>היי-דרוז</t>
  </si>
  <si>
    <t>עמק הירדן</t>
  </si>
  <si>
    <t>רמי שני</t>
  </si>
  <si>
    <t>חוף אשקלון</t>
  </si>
  <si>
    <t>בנק הפועלים</t>
  </si>
  <si>
    <t>בי"ס הפרדס צפוני יבנה</t>
  </si>
  <si>
    <t>סיום פעילות ב 15.3.26 ובקורס השני 15.4.26 אנסה לזרז תשלום</t>
  </si>
  <si>
    <t>נתניה</t>
  </si>
  <si>
    <t>ויצו.</t>
  </si>
  <si>
    <t>ויצו</t>
  </si>
  <si>
    <t>מתנ״ס קריית שמונה</t>
  </si>
  <si>
    <t>מטה יהודה</t>
  </si>
  <si>
    <t>תעשיינים צפון</t>
  </si>
  <si>
    <t>תוכניות חדשות</t>
  </si>
  <si>
    <t>תאריך</t>
  </si>
  <si>
    <t>חודש</t>
  </si>
  <si>
    <t>יום</t>
  </si>
  <si>
    <t>קטגוריה מקורית</t>
  </si>
  <si>
    <t>קבוצת תזרים</t>
  </si>
  <si>
    <t>עמלות</t>
  </si>
  <si>
    <t>ספקים</t>
  </si>
  <si>
    <t>פירוט הכנסות</t>
  </si>
  <si>
    <t>סכום הכנסות</t>
  </si>
  <si>
    <t>פירוט הוצאות</t>
  </si>
  <si>
    <t>סכום הוצאות</t>
  </si>
  <si>
    <t>יתרת בנק</t>
  </si>
  <si>
    <t>הכנסות</t>
  </si>
  <si>
    <t>מרץ</t>
  </si>
  <si>
    <t>אפריל</t>
  </si>
  <si>
    <t>מאי</t>
  </si>
  <si>
    <t>יוני</t>
  </si>
  <si>
    <t>יולי</t>
  </si>
  <si>
    <t>אוגוסט</t>
  </si>
  <si>
    <t>סה"כ</t>
  </si>
  <si>
    <t>סכום כולל</t>
  </si>
  <si>
    <t>הוצאות</t>
  </si>
  <si>
    <t>הכנסה</t>
  </si>
  <si>
    <t>תזרים</t>
  </si>
  <si>
    <t>הכנסות-הוצאות</t>
  </si>
  <si>
    <t>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</si>
</sst>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&quot;.&quot;mm&quot;.&quot;yy"/>
    <numFmt numFmtId="165" formatCode="#,##0;[Red]\-#,##0;;@"/>
    <numFmt numFmtId="173" formatCode="_ * #,##0_ ;_ * \-#,##0_ ;_ * &quot;-&quot;??_ ;_ @_ "/>
  </numFmts>
  <fonts count="1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9"/>
      <color rgb="FF000000"/>
      <name val="Arial"/>
    </font>
    <font>
      <sz val="10"/>
      <color rgb="FF1F1F1F"/>
      <name val="&quot;Google Sans Text&quot;"/>
    </font>
    <font>
      <b/>
      <sz val="9"/>
      <color rgb="FF000000"/>
      <name val="&quot;Aptos Narrow&quot;"/>
    </font>
    <font>
      <b/>
      <sz val="9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9"/>
      <color rgb="FF002060"/>
      <name val="Arial"/>
    </font>
    <font>
      <sz val="9"/>
      <color theme="1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9FB"/>
        <bgColor rgb="FFF3F9FB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 readingOrder="1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0" xfId="0" applyFont="1"/>
    <xf numFmtId="0" fontId="9" fillId="2" borderId="1" xfId="0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/>
    </xf>
    <xf numFmtId="3" fontId="10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11" fillId="3" borderId="0" xfId="0" applyFont="1" applyFill="1"/>
    <xf numFmtId="3" fontId="11" fillId="3" borderId="0" xfId="0" applyNumberFormat="1" applyFont="1" applyFill="1" applyAlignment="1">
      <alignment horizontal="center"/>
    </xf>
    <xf numFmtId="164" fontId="11" fillId="3" borderId="0" xfId="0" applyNumberFormat="1" applyFont="1" applyFill="1"/>
    <xf numFmtId="0" fontId="2" fillId="0" borderId="0" xfId="0" applyFont="1"/>
    <xf numFmtId="3" fontId="2" fillId="0" borderId="0" xfId="0" applyNumberFormat="1" applyFont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14" fontId="2" fillId="0" borderId="0" xfId="0" applyNumberFormat="1" applyFont="1"/>
    <xf numFmtId="0" fontId="1" fillId="2" borderId="1" xfId="0" applyFont="1" applyFill="1" applyBorder="1" applyAlignment="1">
      <alignment horizontal="right" wrapText="1" readingOrder="1"/>
    </xf>
    <xf numFmtId="165" fontId="1" fillId="2" borderId="1" xfId="0" applyNumberFormat="1" applyFont="1" applyFill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right" wrapText="1" readingOrder="1"/>
    </xf>
    <xf numFmtId="165" fontId="2" fillId="0" borderId="1" xfId="0" applyNumberFormat="1" applyFont="1" applyBorder="1"/>
    <xf numFmtId="3" fontId="2" fillId="0" borderId="1" xfId="0" applyNumberFormat="1" applyFont="1" applyBorder="1" applyAlignment="1">
      <alignment horizontal="right" wrapText="1" readingOrder="1"/>
    </xf>
    <xf numFmtId="0" fontId="2" fillId="0" borderId="0" xfId="0" applyFont="1" applyAlignment="1">
      <alignment horizontal="right" wrapText="1" readingOrder="1"/>
    </xf>
    <xf numFmtId="165" fontId="2" fillId="0" borderId="0" xfId="0" applyNumberFormat="1" applyFont="1"/>
    <xf numFmtId="3" fontId="2" fillId="0" borderId="0" xfId="0" applyNumberFormat="1" applyFont="1" applyAlignment="1">
      <alignment horizontal="right" wrapText="1" readingOrder="1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right"/>
    </xf>
    <xf numFmtId="3" fontId="8" fillId="5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right"/>
    </xf>
    <xf numFmtId="0" fontId="1" fillId="6" borderId="1" xfId="0" applyFont="1" applyFill="1" applyBorder="1"/>
    <xf numFmtId="0" fontId="14" fillId="0" borderId="1" xfId="0" applyFont="1" applyBorder="1"/>
    <xf numFmtId="0" fontId="14" fillId="0" borderId="0" xfId="0" applyFont="1"/>
    <xf numFmtId="0" fontId="5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3" borderId="0" xfId="0" applyFont="1" applyFill="1" applyAlignment="1">
      <alignment horizontal="right"/>
    </xf>
    <xf numFmtId="0" fontId="16" fillId="0" borderId="2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173" fontId="17" fillId="0" borderId="4" xfId="1" applyNumberFormat="1" applyFont="1" applyBorder="1" applyAlignment="1">
      <alignment horizontal="center" vertical="center" wrapText="1" readingOrder="2"/>
    </xf>
    <xf numFmtId="173" fontId="17" fillId="0" borderId="5" xfId="1" applyNumberFormat="1" applyFont="1" applyBorder="1" applyAlignment="1">
      <alignment horizontal="center" vertical="center" wrapText="1" readingOrder="2"/>
    </xf>
    <xf numFmtId="173" fontId="17" fillId="0" borderId="6" xfId="1" applyNumberFormat="1" applyFont="1" applyBorder="1" applyAlignment="1">
      <alignment horizontal="center" vertical="center" wrapText="1" readingOrder="2"/>
    </xf>
    <xf numFmtId="173" fontId="17" fillId="0" borderId="7" xfId="1" applyNumberFormat="1" applyFont="1" applyBorder="1" applyAlignment="1">
      <alignment horizontal="center" vertical="center" wrapText="1" readingOrder="2"/>
    </xf>
    <xf numFmtId="0" fontId="16" fillId="0" borderId="7" xfId="0" applyFont="1" applyBorder="1" applyAlignment="1">
      <alignment horizontal="center" vertical="center" wrapText="1" readingOrder="2"/>
    </xf>
    <xf numFmtId="173" fontId="16" fillId="0" borderId="8" xfId="0" applyNumberFormat="1" applyFont="1" applyBorder="1" applyAlignment="1">
      <alignment horizontal="center" vertical="center" wrapText="1" readingOrder="2"/>
    </xf>
    <xf numFmtId="17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rightToLeft="1" tabSelected="1" workbookViewId="0">
      <pane ySplit="1" topLeftCell="A12" activePane="bottomLeft" state="frozen"/>
      <selection pane="bottomLeft" activeCell="E16" sqref="E16:E26"/>
    </sheetView>
  </sheetViews>
  <sheetFormatPr defaultColWidth="12.6640625" defaultRowHeight="15.7" customHeight="1"/>
  <cols>
    <col min="7" max="8" width="17.08203125" bestFit="1" customWidth="1"/>
  </cols>
  <sheetData>
    <row r="1" spans="1:9" ht="21.75" customHeight="1">
      <c r="A1" s="1" t="s">
        <v>0</v>
      </c>
      <c r="B1" s="1" t="s">
        <v>1</v>
      </c>
    </row>
    <row r="2" spans="1:9" ht="21.75" customHeight="1" thickBot="1">
      <c r="A2" s="2" t="s">
        <v>2</v>
      </c>
      <c r="B2" s="3">
        <v>2026</v>
      </c>
    </row>
    <row r="3" spans="1:9" ht="21.75" customHeight="1" thickBot="1">
      <c r="A3" s="2" t="s">
        <v>3</v>
      </c>
      <c r="B3" s="4">
        <v>100000</v>
      </c>
      <c r="G3" s="62"/>
      <c r="H3" s="63"/>
      <c r="I3" s="63">
        <v>170796</v>
      </c>
    </row>
    <row r="4" spans="1:9" ht="21.75" customHeight="1">
      <c r="A4" s="2" t="s">
        <v>4</v>
      </c>
      <c r="B4" s="3">
        <v>3</v>
      </c>
      <c r="G4" s="64">
        <v>15800</v>
      </c>
      <c r="H4" s="65"/>
      <c r="I4" s="69">
        <f>+I3+G4-H5</f>
        <v>4596</v>
      </c>
    </row>
    <row r="5" spans="1:9" ht="21.75" customHeight="1" thickBot="1">
      <c r="A5" s="2" t="s">
        <v>5</v>
      </c>
      <c r="B5" s="3">
        <v>8</v>
      </c>
      <c r="G5" s="66"/>
      <c r="H5" s="67">
        <v>182000</v>
      </c>
      <c r="I5" s="68"/>
    </row>
    <row r="6" spans="1:9" ht="21.75" customHeight="1">
      <c r="A6" s="2" t="s">
        <v>6</v>
      </c>
      <c r="B6" s="3" t="s">
        <v>7</v>
      </c>
      <c r="G6" s="64">
        <v>302900</v>
      </c>
      <c r="H6" s="65"/>
      <c r="I6" s="69">
        <f>+I4+G6+H6</f>
        <v>307496</v>
      </c>
    </row>
    <row r="7" spans="1:9" ht="21.75" customHeight="1" thickBot="1">
      <c r="G7" s="66"/>
      <c r="H7" s="67">
        <v>334584</v>
      </c>
      <c r="I7" s="68"/>
    </row>
    <row r="8" spans="1:9" ht="21.75" customHeight="1">
      <c r="G8" s="64">
        <v>286650</v>
      </c>
      <c r="H8" s="65"/>
      <c r="I8" s="69">
        <f t="shared" ref="I8:I15" si="0">+I7+G8-H9</f>
        <v>45149</v>
      </c>
    </row>
    <row r="9" spans="1:9" ht="21.75" customHeight="1" thickBot="1">
      <c r="G9" s="66"/>
      <c r="H9" s="67">
        <v>241501</v>
      </c>
      <c r="I9" s="68"/>
    </row>
    <row r="10" spans="1:9" ht="21.75" customHeight="1">
      <c r="G10" s="64">
        <v>163000</v>
      </c>
      <c r="H10" s="65"/>
      <c r="I10" s="69">
        <f>+I8+G10-H11</f>
        <v>-20746</v>
      </c>
    </row>
    <row r="11" spans="1:9" ht="21.75" customHeight="1" thickBot="1">
      <c r="G11" s="66"/>
      <c r="H11" s="67">
        <v>228895</v>
      </c>
      <c r="I11" s="68"/>
    </row>
    <row r="12" spans="1:9" ht="21.75" customHeight="1">
      <c r="G12" s="64">
        <v>105000</v>
      </c>
      <c r="H12" s="65"/>
      <c r="I12" s="69">
        <f t="shared" ref="I12:I15" si="1">+I11+G12-H13</f>
        <v>-68918</v>
      </c>
    </row>
    <row r="13" spans="1:9" ht="21.75" customHeight="1" thickBot="1">
      <c r="G13" s="66"/>
      <c r="H13" s="67">
        <v>173918</v>
      </c>
      <c r="I13" s="68"/>
    </row>
    <row r="14" spans="1:9" ht="21.75" customHeight="1">
      <c r="E14">
        <v>170796</v>
      </c>
      <c r="G14" s="64">
        <v>70000</v>
      </c>
      <c r="H14" s="65"/>
      <c r="I14" s="69">
        <f t="shared" ref="I14:I15" si="2">+I13+G14-H15</f>
        <v>-63944</v>
      </c>
    </row>
    <row r="15" spans="1:9" ht="21.75" customHeight="1" thickBot="1">
      <c r="C15">
        <v>15800</v>
      </c>
      <c r="E15">
        <f>+E14+C15-D16</f>
        <v>4596</v>
      </c>
      <c r="G15" s="66"/>
      <c r="H15" s="67">
        <v>133944</v>
      </c>
      <c r="I15" s="68"/>
    </row>
    <row r="16" spans="1:9" ht="21.75" customHeight="1">
      <c r="D16">
        <v>182000</v>
      </c>
      <c r="E16" s="70"/>
    </row>
    <row r="17" spans="3:5" ht="21.75" customHeight="1">
      <c r="C17">
        <v>302900</v>
      </c>
      <c r="E17" s="70">
        <f>E15+C17-D18</f>
        <v>-27088</v>
      </c>
    </row>
    <row r="18" spans="3:5" ht="21.75" customHeight="1">
      <c r="D18">
        <v>334584</v>
      </c>
      <c r="E18" s="70"/>
    </row>
    <row r="19" spans="3:5" ht="21.75" customHeight="1">
      <c r="C19">
        <v>286650</v>
      </c>
      <c r="E19" s="70">
        <f t="shared" ref="E18:E25" si="3">E17+C19-D20</f>
        <v>18061</v>
      </c>
    </row>
    <row r="20" spans="3:5" ht="21.75" customHeight="1">
      <c r="D20">
        <v>241501</v>
      </c>
      <c r="E20" s="70"/>
    </row>
    <row r="21" spans="3:5" ht="21.75" customHeight="1">
      <c r="C21">
        <v>163000</v>
      </c>
      <c r="E21" s="70">
        <f t="shared" si="3"/>
        <v>-47834</v>
      </c>
    </row>
    <row r="22" spans="3:5" ht="21.75" customHeight="1">
      <c r="D22">
        <v>228895</v>
      </c>
      <c r="E22" s="70"/>
    </row>
    <row r="23" spans="3:5" ht="21.75" customHeight="1">
      <c r="C23">
        <v>105000</v>
      </c>
      <c r="E23" s="70">
        <f t="shared" si="3"/>
        <v>-116752</v>
      </c>
    </row>
    <row r="24" spans="3:5" ht="21.75" customHeight="1">
      <c r="D24">
        <v>173918</v>
      </c>
      <c r="E24" s="70"/>
    </row>
    <row r="25" spans="3:5" ht="21.75" customHeight="1">
      <c r="C25">
        <v>70000</v>
      </c>
      <c r="E25" s="70">
        <f t="shared" si="3"/>
        <v>-180696</v>
      </c>
    </row>
    <row r="26" spans="3:5" ht="21.75" customHeight="1">
      <c r="D26">
        <v>133944</v>
      </c>
      <c r="E26" s="70"/>
    </row>
    <row r="27" spans="3:5" ht="21.75" customHeight="1"/>
    <row r="28" spans="3:5" ht="21.75" customHeight="1"/>
    <row r="29" spans="3:5" ht="21.75" customHeight="1"/>
    <row r="30" spans="3:5" ht="21.75" customHeight="1"/>
    <row r="31" spans="3:5" ht="21.75" customHeight="1"/>
    <row r="32" spans="3:5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6">
    <mergeCell ref="I4:I5"/>
    <mergeCell ref="I6:I7"/>
    <mergeCell ref="I8:I9"/>
    <mergeCell ref="I10:I11"/>
    <mergeCell ref="I12:I13"/>
    <mergeCell ref="I14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59"/>
  <sheetViews>
    <sheetView rightToLeft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" customHeight="1"/>
  <cols>
    <col min="1" max="1" width="8" customWidth="1"/>
    <col min="2" max="2" width="18.6640625" customWidth="1"/>
    <col min="9" max="9" width="18.6640625" customWidth="1"/>
  </cols>
  <sheetData>
    <row r="1" spans="1:10" ht="23.2" customHeight="1">
      <c r="A1" s="1" t="s">
        <v>8</v>
      </c>
      <c r="B1" s="1" t="s">
        <v>9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 t="s">
        <v>10</v>
      </c>
    </row>
    <row r="2" spans="1:10" ht="23.2" customHeight="1">
      <c r="A2" s="5">
        <v>22</v>
      </c>
      <c r="B2" s="6" t="s">
        <v>11</v>
      </c>
      <c r="C2" s="7">
        <v>15000</v>
      </c>
      <c r="D2" s="7">
        <v>40000</v>
      </c>
      <c r="E2" s="7">
        <v>20000</v>
      </c>
      <c r="F2" s="7">
        <v>15000</v>
      </c>
      <c r="G2" s="7"/>
      <c r="H2" s="7"/>
      <c r="I2" s="6" t="s">
        <v>11</v>
      </c>
      <c r="J2" s="8"/>
    </row>
    <row r="3" spans="1:10" ht="23.2" customHeight="1">
      <c r="A3" s="5">
        <v>2</v>
      </c>
      <c r="B3" s="6" t="s">
        <v>11</v>
      </c>
      <c r="C3" s="7">
        <v>15000</v>
      </c>
      <c r="D3" s="7"/>
      <c r="E3" s="7"/>
      <c r="F3" s="7"/>
      <c r="G3" s="7"/>
      <c r="H3" s="7"/>
      <c r="I3" s="6" t="s">
        <v>11</v>
      </c>
    </row>
    <row r="4" spans="1:10" ht="23.2" customHeight="1">
      <c r="A4" s="5">
        <v>1</v>
      </c>
      <c r="B4" s="6" t="s">
        <v>12</v>
      </c>
      <c r="C4" s="7">
        <v>56000</v>
      </c>
      <c r="D4" s="7">
        <v>60000</v>
      </c>
      <c r="E4" s="7">
        <v>60000</v>
      </c>
      <c r="F4" s="7">
        <v>85000</v>
      </c>
      <c r="G4" s="7">
        <v>75000</v>
      </c>
      <c r="H4" s="7">
        <v>60000</v>
      </c>
      <c r="I4" s="6" t="s">
        <v>13</v>
      </c>
    </row>
    <row r="5" spans="1:10" ht="23.2" customHeight="1">
      <c r="A5" s="5">
        <v>1</v>
      </c>
      <c r="B5" s="6" t="s">
        <v>12</v>
      </c>
      <c r="C5" s="7">
        <v>16520</v>
      </c>
      <c r="D5" s="7">
        <v>16520</v>
      </c>
      <c r="E5" s="7">
        <v>16520</v>
      </c>
      <c r="F5" s="7">
        <v>16520</v>
      </c>
      <c r="G5" s="7">
        <v>16520</v>
      </c>
      <c r="H5" s="7">
        <v>16520</v>
      </c>
      <c r="I5" s="6" t="s">
        <v>14</v>
      </c>
    </row>
    <row r="6" spans="1:10" ht="23.2" customHeight="1">
      <c r="A6" s="5">
        <v>5</v>
      </c>
      <c r="B6" s="6" t="s">
        <v>15</v>
      </c>
      <c r="C6" s="7">
        <v>55000</v>
      </c>
      <c r="D6" s="7">
        <v>60000</v>
      </c>
      <c r="E6" s="7">
        <v>40000</v>
      </c>
      <c r="F6" s="7">
        <v>30000</v>
      </c>
      <c r="G6" s="7">
        <v>10000</v>
      </c>
      <c r="H6" s="7"/>
      <c r="I6" s="6" t="s">
        <v>15</v>
      </c>
    </row>
    <row r="7" spans="1:10" ht="23.2" customHeight="1">
      <c r="A7" s="5">
        <v>14</v>
      </c>
      <c r="B7" s="6" t="s">
        <v>15</v>
      </c>
      <c r="C7" s="7">
        <v>45000</v>
      </c>
      <c r="D7" s="7">
        <v>30000</v>
      </c>
      <c r="E7" s="7">
        <v>15400</v>
      </c>
      <c r="F7" s="7">
        <v>10000</v>
      </c>
      <c r="G7" s="7">
        <v>5000</v>
      </c>
      <c r="H7" s="7"/>
      <c r="I7" s="6" t="s">
        <v>16</v>
      </c>
    </row>
    <row r="8" spans="1:10" ht="23.2" customHeight="1">
      <c r="A8" s="5">
        <v>12</v>
      </c>
      <c r="B8" s="6" t="s">
        <v>17</v>
      </c>
      <c r="C8" s="7">
        <v>30000</v>
      </c>
      <c r="D8" s="7">
        <v>25000</v>
      </c>
      <c r="E8" s="7">
        <v>20000</v>
      </c>
      <c r="F8" s="7">
        <v>20000</v>
      </c>
      <c r="G8" s="7">
        <v>17000</v>
      </c>
      <c r="H8" s="7">
        <v>17000</v>
      </c>
      <c r="I8" s="6" t="s">
        <v>18</v>
      </c>
    </row>
    <row r="9" spans="1:10" ht="23.2" customHeight="1">
      <c r="A9" s="5">
        <v>20</v>
      </c>
      <c r="B9" s="6" t="s">
        <v>17</v>
      </c>
      <c r="C9" s="7">
        <v>15000</v>
      </c>
      <c r="D9" s="7">
        <v>15000</v>
      </c>
      <c r="E9" s="7">
        <v>12000</v>
      </c>
      <c r="F9" s="7">
        <v>12000</v>
      </c>
      <c r="G9" s="7">
        <v>12000</v>
      </c>
      <c r="H9" s="7">
        <v>12000</v>
      </c>
      <c r="I9" s="6" t="s">
        <v>19</v>
      </c>
    </row>
    <row r="10" spans="1:10" ht="23.2" customHeight="1">
      <c r="A10" s="5">
        <v>20</v>
      </c>
      <c r="B10" s="6" t="s">
        <v>17</v>
      </c>
      <c r="C10" s="7">
        <v>13000</v>
      </c>
      <c r="D10" s="7">
        <v>13000</v>
      </c>
      <c r="E10" s="7">
        <v>13000</v>
      </c>
      <c r="F10" s="7">
        <v>13000</v>
      </c>
      <c r="G10" s="7">
        <v>13000</v>
      </c>
      <c r="H10" s="7">
        <v>13000</v>
      </c>
      <c r="I10" s="6" t="s">
        <v>20</v>
      </c>
    </row>
    <row r="11" spans="1:10" ht="23.2" customHeight="1">
      <c r="A11" s="5">
        <v>15</v>
      </c>
      <c r="B11" s="6" t="s">
        <v>21</v>
      </c>
      <c r="C11" s="7">
        <v>22656</v>
      </c>
      <c r="D11" s="7">
        <v>15429</v>
      </c>
      <c r="E11" s="7">
        <v>36724</v>
      </c>
      <c r="F11" s="7">
        <v>20295</v>
      </c>
      <c r="G11" s="7">
        <v>6018</v>
      </c>
      <c r="H11" s="7">
        <v>3894</v>
      </c>
      <c r="I11" s="6" t="s">
        <v>21</v>
      </c>
    </row>
    <row r="12" spans="1:10" ht="23.2" customHeight="1">
      <c r="A12" s="9">
        <v>10</v>
      </c>
      <c r="B12" s="10" t="s">
        <v>22</v>
      </c>
      <c r="C12" s="11">
        <v>8380</v>
      </c>
      <c r="D12" s="11">
        <v>8380</v>
      </c>
      <c r="E12" s="11">
        <v>8380</v>
      </c>
      <c r="F12" s="11">
        <v>8380</v>
      </c>
      <c r="G12" s="11">
        <v>8380</v>
      </c>
      <c r="H12" s="11">
        <v>8380</v>
      </c>
      <c r="I12" s="10" t="s">
        <v>23</v>
      </c>
    </row>
    <row r="13" spans="1:10" ht="23.2" customHeight="1">
      <c r="A13" s="9">
        <v>10</v>
      </c>
      <c r="B13" s="10" t="s">
        <v>24</v>
      </c>
      <c r="C13" s="11">
        <v>7600</v>
      </c>
      <c r="D13" s="11">
        <v>7600</v>
      </c>
      <c r="E13" s="11">
        <v>7600</v>
      </c>
      <c r="F13" s="11">
        <v>7600</v>
      </c>
      <c r="G13" s="11">
        <v>7600</v>
      </c>
      <c r="H13" s="11"/>
      <c r="I13" s="10" t="s">
        <v>24</v>
      </c>
    </row>
    <row r="14" spans="1:10" ht="23.2" customHeight="1">
      <c r="A14" s="9">
        <v>18</v>
      </c>
      <c r="B14" s="10" t="s">
        <v>12</v>
      </c>
      <c r="C14" s="11"/>
      <c r="D14" s="11"/>
      <c r="E14" s="11">
        <v>500</v>
      </c>
      <c r="F14" s="11" t="s">
        <v>25</v>
      </c>
      <c r="G14" s="11"/>
      <c r="H14" s="11">
        <v>500</v>
      </c>
      <c r="I14" s="10" t="s">
        <v>26</v>
      </c>
    </row>
    <row r="15" spans="1:10" ht="23.2" customHeight="1">
      <c r="A15" s="9">
        <v>2</v>
      </c>
      <c r="B15" s="10" t="s">
        <v>27</v>
      </c>
      <c r="C15" s="11">
        <v>1300</v>
      </c>
      <c r="D15" s="11">
        <v>1300</v>
      </c>
      <c r="E15" s="11">
        <v>1300</v>
      </c>
      <c r="F15" s="11">
        <v>1300</v>
      </c>
      <c r="G15" s="11">
        <v>1300</v>
      </c>
      <c r="H15" s="11">
        <v>1300</v>
      </c>
      <c r="I15" s="6" t="s">
        <v>28</v>
      </c>
    </row>
    <row r="16" spans="1:10" ht="23.2" customHeight="1">
      <c r="A16" s="9">
        <v>10</v>
      </c>
      <c r="B16" s="10" t="s">
        <v>29</v>
      </c>
      <c r="C16" s="11">
        <v>2500</v>
      </c>
      <c r="D16" s="11">
        <v>2000</v>
      </c>
      <c r="E16" s="11"/>
      <c r="F16" s="11"/>
      <c r="G16" s="11"/>
      <c r="H16" s="11"/>
      <c r="I16" s="6" t="s">
        <v>30</v>
      </c>
    </row>
    <row r="17" spans="1:9" ht="23.2" customHeight="1">
      <c r="A17" s="9">
        <v>10</v>
      </c>
      <c r="B17" s="10" t="s">
        <v>31</v>
      </c>
      <c r="C17" s="11"/>
      <c r="D17" s="11"/>
      <c r="E17" s="11">
        <v>2500</v>
      </c>
      <c r="F17" s="11"/>
      <c r="G17" s="11"/>
      <c r="H17" s="11"/>
      <c r="I17" s="10" t="s">
        <v>32</v>
      </c>
    </row>
    <row r="18" spans="1:9" ht="23.2" customHeight="1">
      <c r="A18" s="9">
        <v>18</v>
      </c>
      <c r="B18" s="10" t="s">
        <v>33</v>
      </c>
      <c r="C18" s="11"/>
      <c r="D18" s="11"/>
      <c r="E18" s="11">
        <v>4500</v>
      </c>
      <c r="F18" s="11"/>
      <c r="G18" s="11"/>
      <c r="H18" s="11"/>
      <c r="I18" s="10" t="s">
        <v>34</v>
      </c>
    </row>
    <row r="19" spans="1:9" ht="23.2" customHeight="1">
      <c r="A19" s="9">
        <v>18</v>
      </c>
      <c r="B19" s="10" t="s">
        <v>29</v>
      </c>
      <c r="C19" s="11">
        <v>3000</v>
      </c>
      <c r="D19" s="11">
        <v>1500</v>
      </c>
      <c r="E19" s="11"/>
      <c r="F19" s="11"/>
      <c r="G19" s="11"/>
      <c r="H19" s="11"/>
      <c r="I19" s="10" t="s">
        <v>35</v>
      </c>
    </row>
    <row r="20" spans="1:9" ht="23.2" customHeight="1">
      <c r="A20" s="9">
        <v>18</v>
      </c>
      <c r="B20" s="10" t="s">
        <v>36</v>
      </c>
      <c r="C20" s="11">
        <v>1500</v>
      </c>
      <c r="D20" s="11"/>
      <c r="E20" s="11"/>
      <c r="F20" s="11"/>
      <c r="G20" s="11"/>
      <c r="H20" s="11"/>
      <c r="I20" s="10" t="s">
        <v>37</v>
      </c>
    </row>
    <row r="21" spans="1:9" ht="23.2" customHeight="1">
      <c r="A21" s="9">
        <v>2</v>
      </c>
      <c r="B21" s="10" t="s">
        <v>36</v>
      </c>
      <c r="C21" s="11">
        <v>600</v>
      </c>
      <c r="D21" s="11">
        <v>600</v>
      </c>
      <c r="E21" s="11">
        <v>600</v>
      </c>
      <c r="F21" s="11">
        <v>600</v>
      </c>
      <c r="G21" s="11">
        <v>600</v>
      </c>
      <c r="H21" s="11">
        <v>600</v>
      </c>
      <c r="I21" s="10" t="s">
        <v>38</v>
      </c>
    </row>
    <row r="22" spans="1:9" ht="23.2" customHeight="1">
      <c r="A22" s="9">
        <v>18</v>
      </c>
      <c r="B22" s="10" t="s">
        <v>39</v>
      </c>
      <c r="C22" s="11"/>
      <c r="D22" s="11">
        <v>4500</v>
      </c>
      <c r="E22" s="11"/>
      <c r="F22" s="11"/>
      <c r="G22" s="11"/>
      <c r="H22" s="11"/>
      <c r="I22" s="12" t="s">
        <v>40</v>
      </c>
    </row>
    <row r="23" spans="1:9" ht="23.2" customHeight="1">
      <c r="A23" s="9">
        <v>18</v>
      </c>
      <c r="B23" s="10" t="s">
        <v>33</v>
      </c>
      <c r="C23" s="11">
        <v>500</v>
      </c>
      <c r="D23" s="11">
        <v>500</v>
      </c>
      <c r="E23" s="11">
        <v>500</v>
      </c>
      <c r="F23" s="11">
        <v>500</v>
      </c>
      <c r="G23" s="11">
        <v>500</v>
      </c>
      <c r="H23" s="11"/>
      <c r="I23" s="12" t="s">
        <v>33</v>
      </c>
    </row>
    <row r="24" spans="1:9" ht="23.2" customHeight="1">
      <c r="A24" s="9">
        <v>18</v>
      </c>
      <c r="B24" s="10" t="s">
        <v>39</v>
      </c>
      <c r="C24" s="11">
        <v>200</v>
      </c>
      <c r="D24" s="11">
        <v>200</v>
      </c>
      <c r="E24" s="11">
        <v>100</v>
      </c>
      <c r="F24" s="11">
        <v>200</v>
      </c>
      <c r="G24" s="11"/>
      <c r="H24" s="11"/>
      <c r="I24" s="12" t="s">
        <v>41</v>
      </c>
    </row>
    <row r="25" spans="1:9" ht="23.2" customHeight="1">
      <c r="A25" s="9">
        <v>30</v>
      </c>
      <c r="B25" s="10" t="s">
        <v>27</v>
      </c>
      <c r="C25" s="11">
        <v>250</v>
      </c>
      <c r="D25" s="11">
        <v>250</v>
      </c>
      <c r="E25" s="11">
        <v>250</v>
      </c>
      <c r="F25" s="11">
        <v>250</v>
      </c>
      <c r="G25" s="11">
        <v>250</v>
      </c>
      <c r="H25" s="11">
        <v>250</v>
      </c>
      <c r="I25" s="12" t="s">
        <v>42</v>
      </c>
    </row>
    <row r="26" spans="1:9" ht="23.2" customHeight="1">
      <c r="A26" s="9">
        <v>30</v>
      </c>
      <c r="B26" s="10" t="s">
        <v>29</v>
      </c>
      <c r="C26" s="11">
        <v>250</v>
      </c>
      <c r="D26" s="11">
        <v>250</v>
      </c>
      <c r="E26" s="11">
        <v>250</v>
      </c>
      <c r="F26" s="11">
        <v>250</v>
      </c>
      <c r="G26" s="11">
        <v>250</v>
      </c>
      <c r="H26" s="11"/>
      <c r="I26" s="12" t="s">
        <v>43</v>
      </c>
    </row>
    <row r="27" spans="1:9" ht="23.2" customHeight="1">
      <c r="A27" s="9">
        <v>30</v>
      </c>
      <c r="B27" s="10" t="s">
        <v>39</v>
      </c>
      <c r="C27" s="11"/>
      <c r="D27" s="11">
        <v>1000</v>
      </c>
      <c r="E27" s="11">
        <v>250</v>
      </c>
      <c r="F27" s="11">
        <v>500</v>
      </c>
      <c r="G27" s="11"/>
      <c r="H27" s="11"/>
      <c r="I27" s="12" t="s">
        <v>44</v>
      </c>
    </row>
    <row r="28" spans="1:9" ht="23.2" customHeight="1">
      <c r="A28" s="9">
        <v>30</v>
      </c>
      <c r="B28" s="10" t="s">
        <v>45</v>
      </c>
      <c r="C28" s="11">
        <v>500</v>
      </c>
      <c r="D28" s="11">
        <v>500</v>
      </c>
      <c r="E28" s="11">
        <v>500</v>
      </c>
      <c r="F28" s="11">
        <v>500</v>
      </c>
      <c r="G28" s="11">
        <v>500</v>
      </c>
      <c r="H28" s="11">
        <v>500</v>
      </c>
      <c r="I28" s="12" t="s">
        <v>46</v>
      </c>
    </row>
    <row r="29" spans="1:9" ht="23.2" customHeight="1">
      <c r="A29" s="9">
        <v>30</v>
      </c>
      <c r="B29" s="10" t="s">
        <v>33</v>
      </c>
      <c r="C29" s="11">
        <v>700</v>
      </c>
      <c r="D29" s="11">
        <v>1000</v>
      </c>
      <c r="E29" s="11">
        <v>1000</v>
      </c>
      <c r="F29" s="11">
        <v>1000</v>
      </c>
      <c r="G29" s="11"/>
      <c r="H29" s="11"/>
      <c r="I29" s="12" t="s">
        <v>47</v>
      </c>
    </row>
    <row r="30" spans="1:9" ht="23.2" customHeight="1">
      <c r="A30" s="9">
        <v>30</v>
      </c>
      <c r="B30" s="10" t="s">
        <v>29</v>
      </c>
      <c r="C30" s="11">
        <v>1000</v>
      </c>
      <c r="D30" s="11">
        <v>250</v>
      </c>
      <c r="E30" s="11">
        <v>250</v>
      </c>
      <c r="F30" s="11">
        <v>1000</v>
      </c>
      <c r="G30" s="11"/>
      <c r="H30" s="11"/>
      <c r="I30" s="12" t="s">
        <v>48</v>
      </c>
    </row>
    <row r="31" spans="1:9" ht="23.2" customHeight="1">
      <c r="A31" s="9">
        <v>28</v>
      </c>
      <c r="B31" s="6" t="s">
        <v>49</v>
      </c>
      <c r="C31" s="11">
        <v>10000</v>
      </c>
      <c r="D31" s="11">
        <v>15000</v>
      </c>
      <c r="E31" s="11"/>
      <c r="F31" s="11"/>
      <c r="G31" s="11"/>
      <c r="H31" s="11"/>
      <c r="I31" s="6" t="s">
        <v>21</v>
      </c>
    </row>
    <row r="32" spans="1:9" ht="23.2" customHeight="1">
      <c r="A32" s="9">
        <v>28</v>
      </c>
      <c r="B32" s="6" t="s">
        <v>49</v>
      </c>
      <c r="C32" s="11">
        <v>10000</v>
      </c>
      <c r="D32" s="11">
        <v>6600</v>
      </c>
      <c r="E32" s="11"/>
      <c r="F32" s="11"/>
      <c r="G32" s="11"/>
      <c r="H32" s="11"/>
      <c r="I32" s="13" t="s">
        <v>23</v>
      </c>
    </row>
    <row r="33" spans="1:9" ht="23.2" customHeight="1">
      <c r="A33" s="9">
        <v>28</v>
      </c>
      <c r="B33" s="6" t="s">
        <v>49</v>
      </c>
      <c r="C33" s="11">
        <v>4000</v>
      </c>
      <c r="D33" s="11"/>
      <c r="E33" s="11"/>
      <c r="F33" s="11"/>
      <c r="G33" s="11"/>
      <c r="H33" s="11"/>
      <c r="I33" s="13" t="s">
        <v>32</v>
      </c>
    </row>
    <row r="34" spans="1:9" ht="23.2" customHeight="1">
      <c r="B34" s="14" t="s">
        <v>12</v>
      </c>
      <c r="I34" s="14"/>
    </row>
    <row r="35" spans="1:9" ht="23.2" customHeight="1">
      <c r="B35" s="14"/>
      <c r="I35" s="14"/>
    </row>
    <row r="36" spans="1:9" ht="23.2" customHeight="1">
      <c r="B36" s="14"/>
      <c r="I36" s="14"/>
    </row>
    <row r="37" spans="1:9" ht="23.2" customHeight="1">
      <c r="B37" s="14"/>
      <c r="I37" s="14"/>
    </row>
    <row r="38" spans="1:9" ht="23.2" customHeight="1">
      <c r="B38" s="14"/>
      <c r="I38" s="14"/>
    </row>
    <row r="39" spans="1:9" ht="23.2" customHeight="1">
      <c r="B39" s="14"/>
      <c r="I39" s="14"/>
    </row>
    <row r="40" spans="1:9" ht="23.2" customHeight="1">
      <c r="B40" s="14"/>
      <c r="I40" s="14"/>
    </row>
    <row r="41" spans="1:9" ht="23.2" customHeight="1">
      <c r="B41" s="14"/>
      <c r="I41" s="14"/>
    </row>
    <row r="42" spans="1:9" ht="23.2" customHeight="1">
      <c r="B42" s="14"/>
      <c r="I42" s="14"/>
    </row>
    <row r="43" spans="1:9" ht="23.2" customHeight="1">
      <c r="B43" s="14"/>
      <c r="I43" s="14"/>
    </row>
    <row r="44" spans="1:9" ht="23.2" customHeight="1">
      <c r="B44" s="14"/>
      <c r="I44" s="14"/>
    </row>
    <row r="45" spans="1:9" ht="23.2" customHeight="1">
      <c r="B45" s="14"/>
      <c r="I45" s="14"/>
    </row>
    <row r="46" spans="1:9" ht="23.2" customHeight="1">
      <c r="B46" s="14"/>
      <c r="I46" s="14"/>
    </row>
    <row r="47" spans="1:9" ht="23.2" customHeight="1">
      <c r="B47" s="14"/>
      <c r="I47" s="14"/>
    </row>
    <row r="48" spans="1:9" ht="23.2" customHeight="1">
      <c r="B48" s="14"/>
      <c r="I48" s="14"/>
    </row>
    <row r="49" spans="2:9" ht="23.2" customHeight="1">
      <c r="B49" s="14"/>
      <c r="I49" s="14"/>
    </row>
    <row r="50" spans="2:9" ht="23.2" customHeight="1">
      <c r="B50" s="14"/>
      <c r="I50" s="14"/>
    </row>
    <row r="51" spans="2:9" ht="23.2" customHeight="1">
      <c r="B51" s="14"/>
      <c r="I51" s="14"/>
    </row>
    <row r="52" spans="2:9" ht="23.2" customHeight="1">
      <c r="B52" s="14"/>
      <c r="I52" s="14"/>
    </row>
    <row r="53" spans="2:9" ht="23.2" customHeight="1">
      <c r="B53" s="14"/>
      <c r="I53" s="14"/>
    </row>
    <row r="54" spans="2:9" ht="23.2" customHeight="1">
      <c r="B54" s="14"/>
      <c r="I54" s="14"/>
    </row>
    <row r="55" spans="2:9" ht="23.2" customHeight="1">
      <c r="B55" s="14"/>
      <c r="I55" s="14"/>
    </row>
    <row r="56" spans="2:9" ht="23.2" customHeight="1">
      <c r="B56" s="14"/>
      <c r="I56" s="14"/>
    </row>
    <row r="57" spans="2:9" ht="23.2" customHeight="1">
      <c r="B57" s="14"/>
      <c r="I57" s="14"/>
    </row>
    <row r="58" spans="2:9" ht="23.2" customHeight="1">
      <c r="B58" s="14"/>
      <c r="I58" s="14"/>
    </row>
    <row r="59" spans="2:9" ht="23.2" customHeight="1">
      <c r="B59" s="14"/>
      <c r="I59" s="14"/>
    </row>
    <row r="60" spans="2:9" ht="23.2" customHeight="1">
      <c r="B60" s="14"/>
      <c r="I60" s="14"/>
    </row>
    <row r="61" spans="2:9" ht="23.2" customHeight="1">
      <c r="B61" s="14"/>
      <c r="I61" s="14"/>
    </row>
    <row r="62" spans="2:9" ht="23.2" customHeight="1">
      <c r="B62" s="14"/>
      <c r="I62" s="14"/>
    </row>
    <row r="63" spans="2:9" ht="23.2" customHeight="1">
      <c r="B63" s="14"/>
      <c r="I63" s="14"/>
    </row>
    <row r="64" spans="2:9" ht="23.2" customHeight="1">
      <c r="B64" s="14"/>
      <c r="I64" s="14"/>
    </row>
    <row r="65" spans="2:9" ht="23.2" customHeight="1">
      <c r="B65" s="14"/>
      <c r="I65" s="14"/>
    </row>
    <row r="66" spans="2:9" ht="23.2" customHeight="1">
      <c r="B66" s="14"/>
      <c r="I66" s="14"/>
    </row>
    <row r="67" spans="2:9" ht="23.2" customHeight="1">
      <c r="B67" s="14"/>
      <c r="I67" s="14"/>
    </row>
    <row r="68" spans="2:9" ht="23.2" customHeight="1">
      <c r="B68" s="14"/>
      <c r="I68" s="14"/>
    </row>
    <row r="69" spans="2:9" ht="23.2" customHeight="1">
      <c r="B69" s="14"/>
      <c r="I69" s="14"/>
    </row>
    <row r="70" spans="2:9" ht="23.2" customHeight="1">
      <c r="B70" s="14"/>
      <c r="I70" s="14"/>
    </row>
    <row r="71" spans="2:9" ht="23.2" customHeight="1">
      <c r="B71" s="14"/>
      <c r="I71" s="14"/>
    </row>
    <row r="72" spans="2:9" ht="23.2" customHeight="1">
      <c r="B72" s="14"/>
      <c r="I72" s="14"/>
    </row>
    <row r="73" spans="2:9" ht="23.2" customHeight="1">
      <c r="B73" s="14"/>
      <c r="I73" s="14"/>
    </row>
    <row r="74" spans="2:9" ht="23.2" customHeight="1">
      <c r="B74" s="14"/>
      <c r="I74" s="14"/>
    </row>
    <row r="75" spans="2:9" ht="23.2" customHeight="1">
      <c r="B75" s="14"/>
      <c r="I75" s="14"/>
    </row>
    <row r="76" spans="2:9" ht="23.2" customHeight="1">
      <c r="B76" s="14"/>
      <c r="I76" s="14"/>
    </row>
    <row r="77" spans="2:9" ht="23.2" customHeight="1">
      <c r="B77" s="14"/>
      <c r="I77" s="14"/>
    </row>
    <row r="78" spans="2:9" ht="23.2" customHeight="1">
      <c r="B78" s="14"/>
      <c r="I78" s="14"/>
    </row>
    <row r="79" spans="2:9" ht="23.2" customHeight="1">
      <c r="B79" s="14"/>
      <c r="I79" s="14"/>
    </row>
    <row r="80" spans="2:9" ht="23.2" customHeight="1">
      <c r="B80" s="14"/>
      <c r="I80" s="14"/>
    </row>
    <row r="81" spans="2:9" ht="23.2" customHeight="1">
      <c r="B81" s="14"/>
      <c r="I81" s="14"/>
    </row>
    <row r="82" spans="2:9" ht="23.2" customHeight="1">
      <c r="B82" s="14"/>
      <c r="I82" s="14"/>
    </row>
    <row r="83" spans="2:9" ht="23.2" customHeight="1">
      <c r="B83" s="14"/>
      <c r="I83" s="14"/>
    </row>
    <row r="84" spans="2:9" ht="23.2" customHeight="1">
      <c r="B84" s="14"/>
      <c r="I84" s="14"/>
    </row>
    <row r="85" spans="2:9" ht="23.2" customHeight="1">
      <c r="B85" s="14"/>
      <c r="I85" s="14"/>
    </row>
    <row r="86" spans="2:9" ht="23.2" customHeight="1">
      <c r="B86" s="14"/>
      <c r="I86" s="14"/>
    </row>
    <row r="87" spans="2:9" ht="23.2" customHeight="1">
      <c r="B87" s="14"/>
      <c r="I87" s="14"/>
    </row>
    <row r="88" spans="2:9" ht="23.2" customHeight="1">
      <c r="B88" s="14"/>
      <c r="I88" s="14"/>
    </row>
    <row r="89" spans="2:9" ht="23.2" customHeight="1">
      <c r="B89" s="14"/>
      <c r="I89" s="14"/>
    </row>
    <row r="90" spans="2:9" ht="23.2" customHeight="1">
      <c r="B90" s="14"/>
      <c r="I90" s="14"/>
    </row>
    <row r="91" spans="2:9" ht="23.2" customHeight="1">
      <c r="B91" s="14"/>
      <c r="I91" s="14"/>
    </row>
    <row r="92" spans="2:9" ht="23.2" customHeight="1">
      <c r="B92" s="14"/>
      <c r="I92" s="14"/>
    </row>
    <row r="93" spans="2:9" ht="23.2" customHeight="1">
      <c r="B93" s="14"/>
      <c r="I93" s="14"/>
    </row>
    <row r="94" spans="2:9" ht="23.2" customHeight="1">
      <c r="B94" s="14"/>
      <c r="I94" s="14"/>
    </row>
    <row r="95" spans="2:9" ht="23.2" customHeight="1">
      <c r="B95" s="14"/>
      <c r="I95" s="14"/>
    </row>
    <row r="96" spans="2:9" ht="23.2" customHeight="1">
      <c r="B96" s="14"/>
      <c r="I96" s="14"/>
    </row>
    <row r="97" spans="2:9" ht="23.2" customHeight="1">
      <c r="B97" s="14"/>
      <c r="I97" s="14"/>
    </row>
    <row r="98" spans="2:9" ht="23.2" customHeight="1">
      <c r="B98" s="14"/>
      <c r="I98" s="14"/>
    </row>
    <row r="99" spans="2:9" ht="23.2" customHeight="1">
      <c r="B99" s="14"/>
      <c r="I99" s="14"/>
    </row>
    <row r="100" spans="2:9" ht="23.2" customHeight="1">
      <c r="B100" s="14"/>
      <c r="I100" s="14"/>
    </row>
    <row r="101" spans="2:9" ht="23.2" customHeight="1">
      <c r="B101" s="14"/>
      <c r="I101" s="14"/>
    </row>
    <row r="102" spans="2:9" ht="23.2" customHeight="1">
      <c r="B102" s="14"/>
      <c r="I102" s="14"/>
    </row>
    <row r="103" spans="2:9" ht="23.2" customHeight="1">
      <c r="B103" s="14"/>
      <c r="I103" s="14"/>
    </row>
    <row r="104" spans="2:9" ht="23.2" customHeight="1">
      <c r="B104" s="14"/>
      <c r="I104" s="14"/>
    </row>
    <row r="105" spans="2:9" ht="23.2" customHeight="1">
      <c r="B105" s="14"/>
      <c r="I105" s="14"/>
    </row>
    <row r="106" spans="2:9" ht="23.2" customHeight="1">
      <c r="B106" s="14"/>
      <c r="I106" s="14"/>
    </row>
    <row r="107" spans="2:9" ht="23.2" customHeight="1">
      <c r="B107" s="14"/>
      <c r="I107" s="14"/>
    </row>
    <row r="108" spans="2:9" ht="23.2" customHeight="1">
      <c r="B108" s="14"/>
      <c r="I108" s="14"/>
    </row>
    <row r="109" spans="2:9" ht="23.2" customHeight="1">
      <c r="B109" s="14"/>
      <c r="I109" s="14"/>
    </row>
    <row r="110" spans="2:9" ht="23.2" customHeight="1">
      <c r="B110" s="14"/>
      <c r="I110" s="14"/>
    </row>
    <row r="111" spans="2:9" ht="23.2" customHeight="1">
      <c r="B111" s="14"/>
      <c r="I111" s="14"/>
    </row>
    <row r="112" spans="2:9" ht="23.2" customHeight="1">
      <c r="B112" s="14"/>
      <c r="I112" s="14"/>
    </row>
    <row r="113" spans="2:9" ht="23.2" customHeight="1">
      <c r="B113" s="14"/>
      <c r="I113" s="14"/>
    </row>
    <row r="114" spans="2:9" ht="23.2" customHeight="1">
      <c r="B114" s="14"/>
      <c r="I114" s="14"/>
    </row>
    <row r="115" spans="2:9" ht="23.2" customHeight="1">
      <c r="B115" s="14"/>
      <c r="I115" s="14"/>
    </row>
    <row r="116" spans="2:9" ht="23.2" customHeight="1">
      <c r="B116" s="14"/>
      <c r="I116" s="14"/>
    </row>
    <row r="117" spans="2:9" ht="23.2" customHeight="1">
      <c r="B117" s="14"/>
      <c r="I117" s="14"/>
    </row>
    <row r="118" spans="2:9" ht="23.2" customHeight="1">
      <c r="B118" s="14"/>
      <c r="I118" s="14"/>
    </row>
    <row r="119" spans="2:9" ht="23.2" customHeight="1">
      <c r="B119" s="14"/>
      <c r="I119" s="14"/>
    </row>
    <row r="120" spans="2:9" ht="23.2" customHeight="1">
      <c r="B120" s="14"/>
      <c r="I120" s="14"/>
    </row>
    <row r="121" spans="2:9" ht="23.2" customHeight="1">
      <c r="B121" s="14"/>
      <c r="I121" s="14"/>
    </row>
    <row r="122" spans="2:9" ht="23.2" customHeight="1">
      <c r="B122" s="14"/>
      <c r="I122" s="14"/>
    </row>
    <row r="123" spans="2:9" ht="23.2" customHeight="1">
      <c r="B123" s="14"/>
      <c r="I123" s="14"/>
    </row>
    <row r="124" spans="2:9" ht="23.2" customHeight="1">
      <c r="B124" s="14"/>
      <c r="I124" s="14"/>
    </row>
    <row r="125" spans="2:9" ht="23.2" customHeight="1">
      <c r="B125" s="14"/>
      <c r="I125" s="14"/>
    </row>
    <row r="126" spans="2:9" ht="23.2" customHeight="1">
      <c r="B126" s="14"/>
      <c r="I126" s="14"/>
    </row>
    <row r="127" spans="2:9" ht="23.2" customHeight="1">
      <c r="B127" s="14"/>
      <c r="I127" s="14"/>
    </row>
    <row r="128" spans="2:9" ht="23.2" customHeight="1">
      <c r="B128" s="14"/>
      <c r="I128" s="14"/>
    </row>
    <row r="129" spans="2:9" ht="23.2" customHeight="1">
      <c r="B129" s="14"/>
      <c r="I129" s="14"/>
    </row>
    <row r="130" spans="2:9" ht="23.2" customHeight="1">
      <c r="B130" s="14"/>
      <c r="I130" s="14"/>
    </row>
    <row r="131" spans="2:9" ht="23.2" customHeight="1">
      <c r="B131" s="14"/>
      <c r="I131" s="14"/>
    </row>
    <row r="132" spans="2:9" ht="23.2" customHeight="1">
      <c r="B132" s="14"/>
      <c r="I132" s="14"/>
    </row>
    <row r="133" spans="2:9" ht="23.2" customHeight="1">
      <c r="B133" s="14"/>
      <c r="I133" s="14"/>
    </row>
    <row r="134" spans="2:9" ht="23.2" customHeight="1">
      <c r="B134" s="14"/>
      <c r="I134" s="14"/>
    </row>
    <row r="135" spans="2:9" ht="23.2" customHeight="1">
      <c r="B135" s="14"/>
      <c r="I135" s="14"/>
    </row>
    <row r="136" spans="2:9" ht="23.2" customHeight="1">
      <c r="B136" s="14"/>
      <c r="I136" s="14"/>
    </row>
    <row r="137" spans="2:9" ht="23.2" customHeight="1">
      <c r="B137" s="14"/>
      <c r="I137" s="14"/>
    </row>
    <row r="138" spans="2:9" ht="23.2" customHeight="1">
      <c r="B138" s="14"/>
      <c r="I138" s="14"/>
    </row>
    <row r="139" spans="2:9" ht="23.2" customHeight="1">
      <c r="B139" s="14"/>
      <c r="I139" s="14"/>
    </row>
    <row r="140" spans="2:9" ht="23.2" customHeight="1">
      <c r="B140" s="14"/>
      <c r="I140" s="14"/>
    </row>
    <row r="141" spans="2:9" ht="23.2" customHeight="1">
      <c r="B141" s="14"/>
      <c r="I141" s="14"/>
    </row>
    <row r="142" spans="2:9" ht="23.2" customHeight="1">
      <c r="B142" s="14"/>
      <c r="I142" s="14"/>
    </row>
    <row r="143" spans="2:9" ht="23.2" customHeight="1">
      <c r="B143" s="14"/>
      <c r="I143" s="14"/>
    </row>
    <row r="144" spans="2:9" ht="23.2" customHeight="1">
      <c r="B144" s="14"/>
      <c r="I144" s="14"/>
    </row>
    <row r="145" spans="2:9" ht="23.2" customHeight="1">
      <c r="B145" s="14"/>
      <c r="I145" s="14"/>
    </row>
    <row r="146" spans="2:9" ht="23.2" customHeight="1">
      <c r="B146" s="14"/>
      <c r="I146" s="14"/>
    </row>
    <row r="147" spans="2:9" ht="23.2" customHeight="1">
      <c r="B147" s="14"/>
      <c r="I147" s="14"/>
    </row>
    <row r="148" spans="2:9" ht="23.2" customHeight="1">
      <c r="B148" s="14"/>
      <c r="I148" s="14"/>
    </row>
    <row r="149" spans="2:9" ht="23.2" customHeight="1">
      <c r="B149" s="14"/>
      <c r="I149" s="14"/>
    </row>
    <row r="150" spans="2:9" ht="23.2" customHeight="1">
      <c r="B150" s="14"/>
      <c r="I150" s="14"/>
    </row>
    <row r="151" spans="2:9" ht="23.2" customHeight="1">
      <c r="B151" s="14"/>
      <c r="I151" s="14"/>
    </row>
    <row r="152" spans="2:9" ht="23.2" customHeight="1">
      <c r="B152" s="14"/>
      <c r="I152" s="14"/>
    </row>
    <row r="153" spans="2:9" ht="23.2" customHeight="1">
      <c r="B153" s="14"/>
      <c r="I153" s="14"/>
    </row>
    <row r="154" spans="2:9" ht="23.2" customHeight="1">
      <c r="B154" s="14"/>
      <c r="I154" s="14"/>
    </row>
    <row r="155" spans="2:9" ht="23.2" customHeight="1">
      <c r="B155" s="14"/>
      <c r="I155" s="14"/>
    </row>
    <row r="156" spans="2:9" ht="23.2" customHeight="1">
      <c r="B156" s="14"/>
      <c r="I156" s="14"/>
    </row>
    <row r="157" spans="2:9" ht="23.2" customHeight="1">
      <c r="B157" s="14"/>
      <c r="I157" s="14"/>
    </row>
    <row r="158" spans="2:9" ht="23.2" customHeight="1">
      <c r="B158" s="14"/>
      <c r="I158" s="14"/>
    </row>
    <row r="159" spans="2:9" ht="23.2" customHeight="1">
      <c r="B159" s="14"/>
      <c r="I159" s="14"/>
    </row>
    <row r="160" spans="2:9" ht="23.2" customHeight="1">
      <c r="B160" s="14"/>
      <c r="I160" s="14"/>
    </row>
    <row r="161" spans="2:9" ht="23.2" customHeight="1">
      <c r="B161" s="14"/>
      <c r="I161" s="14"/>
    </row>
    <row r="162" spans="2:9" ht="23.2" customHeight="1">
      <c r="B162" s="14"/>
      <c r="I162" s="14"/>
    </row>
    <row r="163" spans="2:9" ht="23.2" customHeight="1">
      <c r="B163" s="14"/>
      <c r="I163" s="14"/>
    </row>
    <row r="164" spans="2:9" ht="23.2" customHeight="1">
      <c r="B164" s="14"/>
      <c r="I164" s="14"/>
    </row>
    <row r="165" spans="2:9" ht="23.2" customHeight="1">
      <c r="B165" s="14"/>
      <c r="I165" s="14"/>
    </row>
    <row r="166" spans="2:9" ht="23.2" customHeight="1">
      <c r="B166" s="14"/>
      <c r="I166" s="14"/>
    </row>
    <row r="167" spans="2:9" ht="23.2" customHeight="1">
      <c r="B167" s="14"/>
      <c r="I167" s="14"/>
    </row>
    <row r="168" spans="2:9" ht="23.2" customHeight="1">
      <c r="B168" s="14"/>
      <c r="I168" s="14"/>
    </row>
    <row r="169" spans="2:9" ht="23.2" customHeight="1">
      <c r="B169" s="14"/>
      <c r="I169" s="14"/>
    </row>
    <row r="170" spans="2:9" ht="23.2" customHeight="1">
      <c r="B170" s="14"/>
      <c r="I170" s="14"/>
    </row>
    <row r="171" spans="2:9" ht="23.2" customHeight="1">
      <c r="B171" s="14"/>
      <c r="I171" s="14"/>
    </row>
    <row r="172" spans="2:9" ht="23.2" customHeight="1">
      <c r="B172" s="14"/>
      <c r="I172" s="14"/>
    </row>
    <row r="173" spans="2:9" ht="23.2" customHeight="1">
      <c r="B173" s="14"/>
      <c r="I173" s="14"/>
    </row>
    <row r="174" spans="2:9" ht="23.2" customHeight="1">
      <c r="B174" s="14"/>
      <c r="I174" s="14"/>
    </row>
    <row r="175" spans="2:9" ht="23.2" customHeight="1">
      <c r="B175" s="14"/>
      <c r="I175" s="14"/>
    </row>
    <row r="176" spans="2:9" ht="23.2" customHeight="1">
      <c r="B176" s="14"/>
      <c r="I176" s="14"/>
    </row>
    <row r="177" spans="2:9" ht="23.2" customHeight="1">
      <c r="B177" s="14"/>
      <c r="I177" s="14"/>
    </row>
    <row r="178" spans="2:9" ht="23.2" customHeight="1">
      <c r="B178" s="14"/>
      <c r="I178" s="14"/>
    </row>
    <row r="179" spans="2:9" ht="23.2" customHeight="1">
      <c r="B179" s="14"/>
      <c r="I179" s="14"/>
    </row>
    <row r="180" spans="2:9" ht="23.2" customHeight="1">
      <c r="B180" s="14"/>
      <c r="I180" s="14"/>
    </row>
    <row r="181" spans="2:9" ht="23.2" customHeight="1">
      <c r="B181" s="14"/>
      <c r="I181" s="14"/>
    </row>
    <row r="182" spans="2:9" ht="23.2" customHeight="1">
      <c r="B182" s="14"/>
      <c r="I182" s="14"/>
    </row>
    <row r="183" spans="2:9" ht="23.2" customHeight="1">
      <c r="B183" s="14"/>
      <c r="I183" s="14"/>
    </row>
    <row r="184" spans="2:9" ht="23.2" customHeight="1">
      <c r="B184" s="14"/>
      <c r="I184" s="14"/>
    </row>
    <row r="185" spans="2:9" ht="23.2" customHeight="1">
      <c r="B185" s="14"/>
      <c r="I185" s="14"/>
    </row>
    <row r="186" spans="2:9" ht="23.2" customHeight="1">
      <c r="B186" s="14"/>
      <c r="I186" s="14"/>
    </row>
    <row r="187" spans="2:9" ht="23.2" customHeight="1">
      <c r="B187" s="14"/>
      <c r="I187" s="14"/>
    </row>
    <row r="188" spans="2:9" ht="23.2" customHeight="1">
      <c r="B188" s="14"/>
      <c r="I188" s="14"/>
    </row>
    <row r="189" spans="2:9" ht="23.2" customHeight="1">
      <c r="B189" s="14"/>
      <c r="I189" s="14"/>
    </row>
    <row r="190" spans="2:9" ht="23.2" customHeight="1">
      <c r="B190" s="14"/>
      <c r="I190" s="14"/>
    </row>
    <row r="191" spans="2:9" ht="23.2" customHeight="1">
      <c r="B191" s="14"/>
      <c r="I191" s="14"/>
    </row>
    <row r="192" spans="2:9" ht="23.2" customHeight="1">
      <c r="B192" s="14"/>
      <c r="I192" s="14"/>
    </row>
    <row r="193" spans="2:9" ht="23.2" customHeight="1">
      <c r="B193" s="14"/>
      <c r="I193" s="14"/>
    </row>
    <row r="194" spans="2:9" ht="23.2" customHeight="1">
      <c r="B194" s="14"/>
      <c r="I194" s="14"/>
    </row>
    <row r="195" spans="2:9" ht="23.2" customHeight="1">
      <c r="B195" s="14"/>
      <c r="I195" s="14"/>
    </row>
    <row r="196" spans="2:9" ht="23.2" customHeight="1">
      <c r="B196" s="14"/>
      <c r="I196" s="14"/>
    </row>
    <row r="197" spans="2:9" ht="23.2" customHeight="1">
      <c r="B197" s="14"/>
      <c r="I197" s="14"/>
    </row>
    <row r="198" spans="2:9" ht="23.2" customHeight="1">
      <c r="B198" s="14"/>
      <c r="I198" s="14"/>
    </row>
    <row r="199" spans="2:9" ht="23.2" customHeight="1">
      <c r="B199" s="14"/>
      <c r="I199" s="14"/>
    </row>
    <row r="200" spans="2:9" ht="23.2" customHeight="1">
      <c r="B200" s="14"/>
      <c r="I200" s="14"/>
    </row>
    <row r="201" spans="2:9" ht="23.2" customHeight="1">
      <c r="B201" s="14"/>
      <c r="I201" s="14"/>
    </row>
    <row r="202" spans="2:9" ht="23.2" customHeight="1">
      <c r="B202" s="14"/>
      <c r="I202" s="14"/>
    </row>
    <row r="203" spans="2:9" ht="23.2" customHeight="1">
      <c r="B203" s="14"/>
      <c r="I203" s="14"/>
    </row>
    <row r="204" spans="2:9" ht="23.2" customHeight="1">
      <c r="B204" s="14"/>
      <c r="I204" s="14"/>
    </row>
    <row r="205" spans="2:9" ht="23.2" customHeight="1">
      <c r="B205" s="14"/>
      <c r="I205" s="14"/>
    </row>
    <row r="206" spans="2:9" ht="23.2" customHeight="1">
      <c r="B206" s="14"/>
      <c r="I206" s="14"/>
    </row>
    <row r="207" spans="2:9" ht="23.2" customHeight="1">
      <c r="B207" s="14"/>
      <c r="I207" s="14"/>
    </row>
    <row r="208" spans="2:9" ht="23.2" customHeight="1">
      <c r="B208" s="14"/>
      <c r="I208" s="14"/>
    </row>
    <row r="209" spans="2:9" ht="23.2" customHeight="1">
      <c r="B209" s="14"/>
      <c r="I209" s="14"/>
    </row>
    <row r="210" spans="2:9" ht="23.2" customHeight="1">
      <c r="B210" s="14"/>
      <c r="I210" s="14"/>
    </row>
    <row r="211" spans="2:9" ht="23.2" customHeight="1">
      <c r="B211" s="14"/>
      <c r="I211" s="14"/>
    </row>
    <row r="212" spans="2:9" ht="23.2" customHeight="1">
      <c r="B212" s="14"/>
      <c r="I212" s="14"/>
    </row>
    <row r="213" spans="2:9" ht="23.2" customHeight="1">
      <c r="B213" s="14"/>
      <c r="I213" s="14"/>
    </row>
    <row r="214" spans="2:9" ht="23.2" customHeight="1">
      <c r="B214" s="14"/>
      <c r="I214" s="14"/>
    </row>
    <row r="215" spans="2:9" ht="23.2" customHeight="1">
      <c r="B215" s="14"/>
      <c r="I215" s="14"/>
    </row>
    <row r="216" spans="2:9" ht="23.2" customHeight="1">
      <c r="B216" s="14"/>
      <c r="I216" s="14"/>
    </row>
    <row r="217" spans="2:9" ht="23.2" customHeight="1">
      <c r="B217" s="14"/>
      <c r="I217" s="14"/>
    </row>
    <row r="218" spans="2:9" ht="23.2" customHeight="1">
      <c r="B218" s="14"/>
      <c r="I218" s="14"/>
    </row>
    <row r="219" spans="2:9" ht="23.2" customHeight="1">
      <c r="B219" s="14"/>
      <c r="I219" s="14"/>
    </row>
    <row r="220" spans="2:9" ht="23.2" customHeight="1">
      <c r="B220" s="14"/>
      <c r="I220" s="14"/>
    </row>
    <row r="221" spans="2:9" ht="23.2" customHeight="1">
      <c r="B221" s="14"/>
      <c r="I221" s="14"/>
    </row>
    <row r="222" spans="2:9" ht="23.2" customHeight="1">
      <c r="B222" s="14"/>
      <c r="I222" s="14"/>
    </row>
    <row r="223" spans="2:9" ht="23.2" customHeight="1">
      <c r="B223" s="14"/>
      <c r="I223" s="14"/>
    </row>
    <row r="224" spans="2:9" ht="23.2" customHeight="1">
      <c r="B224" s="14"/>
      <c r="I224" s="14"/>
    </row>
    <row r="225" spans="2:9" ht="23.2" customHeight="1">
      <c r="B225" s="14"/>
      <c r="I225" s="14"/>
    </row>
    <row r="226" spans="2:9" ht="23.2" customHeight="1">
      <c r="B226" s="14"/>
      <c r="I226" s="14"/>
    </row>
    <row r="227" spans="2:9" ht="23.2" customHeight="1">
      <c r="B227" s="14"/>
      <c r="I227" s="14"/>
    </row>
    <row r="228" spans="2:9" ht="23.2" customHeight="1">
      <c r="B228" s="14"/>
      <c r="I228" s="14"/>
    </row>
    <row r="229" spans="2:9" ht="23.2" customHeight="1">
      <c r="B229" s="14"/>
      <c r="I229" s="14"/>
    </row>
    <row r="230" spans="2:9" ht="23.2" customHeight="1">
      <c r="B230" s="14"/>
      <c r="I230" s="14"/>
    </row>
    <row r="231" spans="2:9" ht="23.2" customHeight="1">
      <c r="B231" s="14"/>
      <c r="I231" s="14"/>
    </row>
    <row r="232" spans="2:9" ht="23.2" customHeight="1">
      <c r="B232" s="14"/>
      <c r="I232" s="14"/>
    </row>
    <row r="233" spans="2:9" ht="23.2" customHeight="1">
      <c r="B233" s="14"/>
      <c r="I233" s="14"/>
    </row>
    <row r="234" spans="2:9" ht="23.2" customHeight="1">
      <c r="B234" s="14"/>
      <c r="I234" s="14"/>
    </row>
    <row r="235" spans="2:9" ht="23.2" customHeight="1">
      <c r="B235" s="14"/>
      <c r="I235" s="14"/>
    </row>
    <row r="236" spans="2:9" ht="23.2" customHeight="1">
      <c r="B236" s="14"/>
      <c r="I236" s="14"/>
    </row>
    <row r="237" spans="2:9" ht="23.2" customHeight="1">
      <c r="B237" s="14"/>
      <c r="I237" s="14"/>
    </row>
    <row r="238" spans="2:9" ht="23.2" customHeight="1">
      <c r="B238" s="14"/>
      <c r="I238" s="14"/>
    </row>
    <row r="239" spans="2:9" ht="23.2" customHeight="1">
      <c r="B239" s="14"/>
      <c r="I239" s="14"/>
    </row>
    <row r="240" spans="2:9" ht="23.2" customHeight="1">
      <c r="B240" s="14"/>
      <c r="I240" s="14"/>
    </row>
    <row r="241" spans="2:9" ht="23.2" customHeight="1">
      <c r="B241" s="14"/>
      <c r="I241" s="14"/>
    </row>
    <row r="242" spans="2:9" ht="23.2" customHeight="1">
      <c r="B242" s="14"/>
      <c r="I242" s="14"/>
    </row>
    <row r="243" spans="2:9" ht="23.2" customHeight="1">
      <c r="B243" s="14"/>
      <c r="I243" s="14"/>
    </row>
    <row r="244" spans="2:9" ht="23.2" customHeight="1">
      <c r="B244" s="14"/>
      <c r="I244" s="14"/>
    </row>
    <row r="245" spans="2:9" ht="23.2" customHeight="1">
      <c r="B245" s="14"/>
      <c r="I245" s="14"/>
    </row>
    <row r="246" spans="2:9" ht="23.2" customHeight="1">
      <c r="B246" s="14"/>
      <c r="I246" s="14"/>
    </row>
    <row r="247" spans="2:9" ht="23.2" customHeight="1">
      <c r="B247" s="14"/>
      <c r="I247" s="14"/>
    </row>
    <row r="248" spans="2:9" ht="23.2" customHeight="1">
      <c r="B248" s="14"/>
      <c r="I248" s="14"/>
    </row>
    <row r="249" spans="2:9" ht="23.2" customHeight="1">
      <c r="B249" s="14"/>
      <c r="I249" s="14"/>
    </row>
    <row r="250" spans="2:9" ht="23.2" customHeight="1">
      <c r="B250" s="14"/>
      <c r="I250" s="14"/>
    </row>
    <row r="251" spans="2:9" ht="23.2" customHeight="1">
      <c r="B251" s="14"/>
      <c r="I251" s="14"/>
    </row>
    <row r="252" spans="2:9" ht="23.2" customHeight="1">
      <c r="B252" s="14"/>
      <c r="I252" s="14"/>
    </row>
    <row r="253" spans="2:9" ht="23.2" customHeight="1">
      <c r="B253" s="14"/>
      <c r="I253" s="14"/>
    </row>
    <row r="254" spans="2:9" ht="23.2" customHeight="1">
      <c r="B254" s="14"/>
      <c r="I254" s="14"/>
    </row>
    <row r="255" spans="2:9" ht="23.2" customHeight="1">
      <c r="B255" s="14"/>
      <c r="I255" s="14"/>
    </row>
    <row r="256" spans="2:9" ht="23.2" customHeight="1">
      <c r="B256" s="14"/>
      <c r="I256" s="14"/>
    </row>
    <row r="257" spans="2:9" ht="23.2" customHeight="1">
      <c r="B257" s="14"/>
      <c r="I257" s="14"/>
    </row>
    <row r="258" spans="2:9" ht="23.2" customHeight="1">
      <c r="B258" s="14"/>
      <c r="I258" s="14"/>
    </row>
    <row r="259" spans="2:9" ht="23.2" customHeight="1">
      <c r="B259" s="14"/>
      <c r="I259" s="14"/>
    </row>
    <row r="260" spans="2:9" ht="23.2" customHeight="1">
      <c r="B260" s="14"/>
      <c r="I260" s="14"/>
    </row>
    <row r="261" spans="2:9" ht="23.2" customHeight="1">
      <c r="B261" s="14"/>
      <c r="I261" s="14"/>
    </row>
    <row r="262" spans="2:9" ht="23.2" customHeight="1">
      <c r="B262" s="14"/>
      <c r="I262" s="14"/>
    </row>
    <row r="263" spans="2:9" ht="23.2" customHeight="1">
      <c r="B263" s="14"/>
      <c r="I263" s="14"/>
    </row>
    <row r="264" spans="2:9" ht="23.2" customHeight="1">
      <c r="B264" s="14"/>
      <c r="I264" s="14"/>
    </row>
    <row r="265" spans="2:9" ht="23.2" customHeight="1">
      <c r="B265" s="14"/>
      <c r="I265" s="14"/>
    </row>
    <row r="266" spans="2:9" ht="23.2" customHeight="1">
      <c r="B266" s="14"/>
      <c r="I266" s="14"/>
    </row>
    <row r="267" spans="2:9" ht="23.2" customHeight="1">
      <c r="B267" s="14"/>
      <c r="I267" s="14"/>
    </row>
    <row r="268" spans="2:9" ht="23.2" customHeight="1">
      <c r="B268" s="14"/>
      <c r="I268" s="14"/>
    </row>
    <row r="269" spans="2:9" ht="23.2" customHeight="1">
      <c r="B269" s="14"/>
      <c r="I269" s="14"/>
    </row>
    <row r="270" spans="2:9" ht="23.2" customHeight="1">
      <c r="B270" s="14"/>
      <c r="I270" s="14"/>
    </row>
    <row r="271" spans="2:9" ht="23.2" customHeight="1">
      <c r="B271" s="14"/>
      <c r="I271" s="14"/>
    </row>
    <row r="272" spans="2:9" ht="23.2" customHeight="1">
      <c r="B272" s="14"/>
      <c r="I272" s="14"/>
    </row>
    <row r="273" spans="2:9" ht="23.2" customHeight="1">
      <c r="B273" s="14"/>
      <c r="I273" s="14"/>
    </row>
    <row r="274" spans="2:9" ht="23.2" customHeight="1">
      <c r="B274" s="14"/>
      <c r="I274" s="14"/>
    </row>
    <row r="275" spans="2:9" ht="23.2" customHeight="1">
      <c r="B275" s="14"/>
      <c r="I275" s="14"/>
    </row>
    <row r="276" spans="2:9" ht="23.2" customHeight="1">
      <c r="B276" s="14"/>
      <c r="I276" s="14"/>
    </row>
    <row r="277" spans="2:9" ht="23.2" customHeight="1">
      <c r="B277" s="14"/>
      <c r="I277" s="14"/>
    </row>
    <row r="278" spans="2:9" ht="23.2" customHeight="1">
      <c r="B278" s="14"/>
      <c r="I278" s="14"/>
    </row>
    <row r="279" spans="2:9" ht="23.2" customHeight="1">
      <c r="B279" s="14"/>
      <c r="I279" s="14"/>
    </row>
    <row r="280" spans="2:9" ht="23.2" customHeight="1">
      <c r="B280" s="14"/>
      <c r="I280" s="14"/>
    </row>
    <row r="281" spans="2:9" ht="23.2" customHeight="1">
      <c r="B281" s="14"/>
      <c r="I281" s="14"/>
    </row>
    <row r="282" spans="2:9" ht="23.2" customHeight="1">
      <c r="B282" s="14"/>
      <c r="I282" s="14"/>
    </row>
    <row r="283" spans="2:9" ht="23.2" customHeight="1">
      <c r="B283" s="14"/>
      <c r="I283" s="14"/>
    </row>
    <row r="284" spans="2:9" ht="23.2" customHeight="1">
      <c r="B284" s="14"/>
      <c r="I284" s="14"/>
    </row>
    <row r="285" spans="2:9" ht="23.2" customHeight="1">
      <c r="B285" s="14"/>
      <c r="I285" s="14"/>
    </row>
    <row r="286" spans="2:9" ht="23.2" customHeight="1">
      <c r="B286" s="14"/>
      <c r="I286" s="14"/>
    </row>
    <row r="287" spans="2:9" ht="23.2" customHeight="1">
      <c r="B287" s="14"/>
      <c r="I287" s="14"/>
    </row>
    <row r="288" spans="2:9" ht="23.2" customHeight="1">
      <c r="B288" s="14"/>
      <c r="I288" s="14"/>
    </row>
    <row r="289" spans="2:9" ht="23.2" customHeight="1">
      <c r="B289" s="14"/>
      <c r="I289" s="14"/>
    </row>
    <row r="290" spans="2:9" ht="23.2" customHeight="1">
      <c r="B290" s="14"/>
      <c r="I290" s="14"/>
    </row>
    <row r="291" spans="2:9" ht="23.2" customHeight="1">
      <c r="B291" s="14"/>
      <c r="I291" s="14"/>
    </row>
    <row r="292" spans="2:9" ht="23.2" customHeight="1">
      <c r="B292" s="14"/>
      <c r="I292" s="14"/>
    </row>
    <row r="293" spans="2:9" ht="23.2" customHeight="1">
      <c r="B293" s="14"/>
      <c r="I293" s="14"/>
    </row>
    <row r="294" spans="2:9" ht="23.2" customHeight="1">
      <c r="B294" s="14"/>
      <c r="I294" s="14"/>
    </row>
    <row r="295" spans="2:9" ht="23.2" customHeight="1">
      <c r="B295" s="14"/>
      <c r="I295" s="14"/>
    </row>
    <row r="296" spans="2:9" ht="23.2" customHeight="1">
      <c r="B296" s="14"/>
      <c r="I296" s="14"/>
    </row>
    <row r="297" spans="2:9" ht="23.2" customHeight="1">
      <c r="B297" s="14"/>
      <c r="I297" s="14"/>
    </row>
    <row r="298" spans="2:9" ht="23.2" customHeight="1">
      <c r="B298" s="14"/>
      <c r="I298" s="14"/>
    </row>
    <row r="299" spans="2:9" ht="23.2" customHeight="1">
      <c r="B299" s="14"/>
      <c r="I299" s="14"/>
    </row>
    <row r="300" spans="2:9" ht="23.2" customHeight="1">
      <c r="B300" s="14"/>
      <c r="I300" s="14"/>
    </row>
    <row r="301" spans="2:9" ht="23.2" customHeight="1">
      <c r="B301" s="14"/>
      <c r="I301" s="14"/>
    </row>
    <row r="302" spans="2:9" ht="23.2" customHeight="1">
      <c r="B302" s="14"/>
      <c r="I302" s="14"/>
    </row>
    <row r="303" spans="2:9" ht="23.2" customHeight="1">
      <c r="B303" s="14"/>
      <c r="I303" s="14"/>
    </row>
    <row r="304" spans="2:9" ht="23.2" customHeight="1">
      <c r="B304" s="14"/>
      <c r="I304" s="14"/>
    </row>
    <row r="305" spans="2:9" ht="23.2" customHeight="1">
      <c r="B305" s="14"/>
      <c r="I305" s="14"/>
    </row>
    <row r="306" spans="2:9" ht="23.2" customHeight="1">
      <c r="B306" s="14"/>
      <c r="I306" s="14"/>
    </row>
    <row r="307" spans="2:9" ht="23.2" customHeight="1">
      <c r="B307" s="14"/>
      <c r="I307" s="14"/>
    </row>
    <row r="308" spans="2:9" ht="23.2" customHeight="1">
      <c r="B308" s="14"/>
      <c r="I308" s="14"/>
    </row>
    <row r="309" spans="2:9" ht="23.2" customHeight="1">
      <c r="B309" s="14"/>
      <c r="I309" s="14"/>
    </row>
    <row r="310" spans="2:9" ht="23.2" customHeight="1">
      <c r="B310" s="14"/>
      <c r="I310" s="14"/>
    </row>
    <row r="311" spans="2:9" ht="23.2" customHeight="1">
      <c r="B311" s="14"/>
      <c r="I311" s="14"/>
    </row>
    <row r="312" spans="2:9" ht="23.2" customHeight="1">
      <c r="B312" s="14"/>
      <c r="I312" s="14"/>
    </row>
    <row r="313" spans="2:9" ht="23.2" customHeight="1">
      <c r="B313" s="14"/>
      <c r="I313" s="14"/>
    </row>
    <row r="314" spans="2:9" ht="23.2" customHeight="1">
      <c r="B314" s="14"/>
      <c r="I314" s="14"/>
    </row>
    <row r="315" spans="2:9" ht="23.2" customHeight="1">
      <c r="B315" s="14"/>
      <c r="I315" s="14"/>
    </row>
    <row r="316" spans="2:9" ht="23.2" customHeight="1">
      <c r="B316" s="14"/>
      <c r="I316" s="14"/>
    </row>
    <row r="317" spans="2:9" ht="23.2" customHeight="1">
      <c r="B317" s="14"/>
      <c r="I317" s="14"/>
    </row>
    <row r="318" spans="2:9" ht="23.2" customHeight="1">
      <c r="B318" s="14"/>
      <c r="I318" s="14"/>
    </row>
    <row r="319" spans="2:9" ht="23.2" customHeight="1">
      <c r="B319" s="14"/>
      <c r="I319" s="14"/>
    </row>
    <row r="320" spans="2:9" ht="23.2" customHeight="1">
      <c r="B320" s="14"/>
      <c r="I320" s="14"/>
    </row>
    <row r="321" spans="2:9" ht="23.2" customHeight="1">
      <c r="B321" s="14"/>
      <c r="I321" s="14"/>
    </row>
    <row r="322" spans="2:9" ht="23.2" customHeight="1">
      <c r="B322" s="14"/>
      <c r="I322" s="14"/>
    </row>
    <row r="323" spans="2:9" ht="23.2" customHeight="1">
      <c r="B323" s="14"/>
      <c r="I323" s="14"/>
    </row>
    <row r="324" spans="2:9" ht="23.2" customHeight="1">
      <c r="B324" s="14"/>
      <c r="I324" s="14"/>
    </row>
    <row r="325" spans="2:9" ht="23.2" customHeight="1">
      <c r="B325" s="14"/>
      <c r="I325" s="14"/>
    </row>
    <row r="326" spans="2:9" ht="23.2" customHeight="1">
      <c r="B326" s="14"/>
      <c r="I326" s="14"/>
    </row>
    <row r="327" spans="2:9" ht="23.2" customHeight="1">
      <c r="B327" s="14"/>
      <c r="I327" s="14"/>
    </row>
    <row r="328" spans="2:9" ht="23.2" customHeight="1">
      <c r="B328" s="14"/>
      <c r="I328" s="14"/>
    </row>
    <row r="329" spans="2:9" ht="23.2" customHeight="1">
      <c r="B329" s="14"/>
      <c r="I329" s="14"/>
    </row>
    <row r="330" spans="2:9" ht="23.2" customHeight="1">
      <c r="B330" s="14"/>
      <c r="I330" s="14"/>
    </row>
    <row r="331" spans="2:9" ht="23.2" customHeight="1">
      <c r="B331" s="14"/>
      <c r="I331" s="14"/>
    </row>
    <row r="332" spans="2:9" ht="23.2" customHeight="1">
      <c r="B332" s="14"/>
      <c r="I332" s="14"/>
    </row>
    <row r="333" spans="2:9" ht="23.2" customHeight="1">
      <c r="B333" s="14"/>
      <c r="I333" s="14"/>
    </row>
    <row r="334" spans="2:9" ht="23.2" customHeight="1">
      <c r="B334" s="14"/>
      <c r="I334" s="14"/>
    </row>
    <row r="335" spans="2:9" ht="23.2" customHeight="1">
      <c r="B335" s="14"/>
      <c r="I335" s="14"/>
    </row>
    <row r="336" spans="2:9" ht="23.2" customHeight="1">
      <c r="B336" s="14"/>
      <c r="I336" s="14"/>
    </row>
    <row r="337" spans="2:9" ht="23.2" customHeight="1">
      <c r="B337" s="14"/>
      <c r="I337" s="14"/>
    </row>
    <row r="338" spans="2:9" ht="23.2" customHeight="1">
      <c r="B338" s="14"/>
      <c r="I338" s="14"/>
    </row>
    <row r="339" spans="2:9" ht="23.2" customHeight="1">
      <c r="B339" s="14"/>
      <c r="I339" s="14"/>
    </row>
    <row r="340" spans="2:9" ht="23.2" customHeight="1">
      <c r="B340" s="14"/>
      <c r="I340" s="14"/>
    </row>
    <row r="341" spans="2:9" ht="23.2" customHeight="1">
      <c r="B341" s="14"/>
      <c r="I341" s="14"/>
    </row>
    <row r="342" spans="2:9" ht="23.2" customHeight="1">
      <c r="B342" s="14"/>
      <c r="I342" s="14"/>
    </row>
    <row r="343" spans="2:9" ht="23.2" customHeight="1">
      <c r="B343" s="14"/>
      <c r="I343" s="14"/>
    </row>
    <row r="344" spans="2:9" ht="23.2" customHeight="1">
      <c r="B344" s="14"/>
      <c r="I344" s="14"/>
    </row>
    <row r="345" spans="2:9" ht="23.2" customHeight="1">
      <c r="B345" s="14"/>
      <c r="I345" s="14"/>
    </row>
    <row r="346" spans="2:9" ht="23.2" customHeight="1">
      <c r="B346" s="14"/>
      <c r="I346" s="14"/>
    </row>
    <row r="347" spans="2:9" ht="23.2" customHeight="1">
      <c r="B347" s="14"/>
      <c r="I347" s="14"/>
    </row>
    <row r="348" spans="2:9" ht="23.2" customHeight="1">
      <c r="B348" s="14"/>
      <c r="I348" s="14"/>
    </row>
    <row r="349" spans="2:9" ht="23.2" customHeight="1">
      <c r="B349" s="14"/>
      <c r="I349" s="14"/>
    </row>
    <row r="350" spans="2:9" ht="23.2" customHeight="1">
      <c r="B350" s="14"/>
      <c r="I350" s="14"/>
    </row>
    <row r="351" spans="2:9" ht="23.2" customHeight="1">
      <c r="B351" s="14"/>
      <c r="I351" s="14"/>
    </row>
    <row r="352" spans="2:9" ht="23.2" customHeight="1">
      <c r="B352" s="14"/>
      <c r="I352" s="14"/>
    </row>
    <row r="353" spans="2:9" ht="23.2" customHeight="1">
      <c r="B353" s="14"/>
      <c r="I353" s="14"/>
    </row>
    <row r="354" spans="2:9" ht="23.2" customHeight="1">
      <c r="B354" s="14"/>
      <c r="I354" s="14"/>
    </row>
    <row r="355" spans="2:9" ht="23.2" customHeight="1">
      <c r="B355" s="14"/>
      <c r="I355" s="14"/>
    </row>
    <row r="356" spans="2:9" ht="23.2" customHeight="1">
      <c r="B356" s="14"/>
      <c r="I356" s="14"/>
    </row>
    <row r="357" spans="2:9" ht="23.2" customHeight="1">
      <c r="B357" s="14"/>
      <c r="I357" s="14"/>
    </row>
    <row r="358" spans="2:9" ht="23.2" customHeight="1">
      <c r="B358" s="14"/>
      <c r="I358" s="14"/>
    </row>
    <row r="359" spans="2:9" ht="23.2" customHeight="1">
      <c r="B359" s="14"/>
      <c r="I359" s="14"/>
    </row>
    <row r="360" spans="2:9" ht="23.2" customHeight="1">
      <c r="B360" s="14"/>
      <c r="I360" s="14"/>
    </row>
    <row r="361" spans="2:9" ht="23.2" customHeight="1">
      <c r="B361" s="14"/>
      <c r="I361" s="14"/>
    </row>
    <row r="362" spans="2:9" ht="23.2" customHeight="1">
      <c r="B362" s="14"/>
      <c r="I362" s="14"/>
    </row>
    <row r="363" spans="2:9" ht="23.2" customHeight="1">
      <c r="B363" s="14"/>
      <c r="I363" s="14"/>
    </row>
    <row r="364" spans="2:9" ht="23.2" customHeight="1">
      <c r="B364" s="14"/>
      <c r="I364" s="14"/>
    </row>
    <row r="365" spans="2:9" ht="23.2" customHeight="1">
      <c r="B365" s="14"/>
      <c r="I365" s="14"/>
    </row>
    <row r="366" spans="2:9" ht="23.2" customHeight="1">
      <c r="B366" s="14"/>
      <c r="I366" s="14"/>
    </row>
    <row r="367" spans="2:9" ht="23.2" customHeight="1">
      <c r="B367" s="14"/>
      <c r="I367" s="14"/>
    </row>
    <row r="368" spans="2:9" ht="23.2" customHeight="1">
      <c r="B368" s="14"/>
      <c r="I368" s="14"/>
    </row>
    <row r="369" spans="2:9" ht="23.2" customHeight="1">
      <c r="B369" s="14"/>
      <c r="I369" s="14"/>
    </row>
    <row r="370" spans="2:9" ht="23.2" customHeight="1">
      <c r="B370" s="14"/>
      <c r="I370" s="14"/>
    </row>
    <row r="371" spans="2:9" ht="23.2" customHeight="1">
      <c r="B371" s="14"/>
      <c r="I371" s="14"/>
    </row>
    <row r="372" spans="2:9" ht="23.2" customHeight="1">
      <c r="B372" s="14"/>
      <c r="I372" s="14"/>
    </row>
    <row r="373" spans="2:9" ht="23.2" customHeight="1">
      <c r="B373" s="14"/>
      <c r="I373" s="14"/>
    </row>
    <row r="374" spans="2:9" ht="23.2" customHeight="1">
      <c r="B374" s="14"/>
      <c r="I374" s="14"/>
    </row>
    <row r="375" spans="2:9" ht="23.2" customHeight="1">
      <c r="B375" s="14"/>
      <c r="I375" s="14"/>
    </row>
    <row r="376" spans="2:9" ht="23.2" customHeight="1">
      <c r="B376" s="14"/>
      <c r="I376" s="14"/>
    </row>
    <row r="377" spans="2:9" ht="23.2" customHeight="1">
      <c r="B377" s="14"/>
      <c r="I377" s="14"/>
    </row>
    <row r="378" spans="2:9" ht="23.2" customHeight="1">
      <c r="B378" s="14"/>
      <c r="I378" s="14"/>
    </row>
    <row r="379" spans="2:9" ht="23.2" customHeight="1">
      <c r="B379" s="14"/>
      <c r="I379" s="14"/>
    </row>
    <row r="380" spans="2:9" ht="23.2" customHeight="1">
      <c r="B380" s="14"/>
      <c r="I380" s="14"/>
    </row>
    <row r="381" spans="2:9" ht="23.2" customHeight="1">
      <c r="B381" s="14"/>
      <c r="I381" s="14"/>
    </row>
    <row r="382" spans="2:9" ht="23.2" customHeight="1">
      <c r="B382" s="14"/>
      <c r="I382" s="14"/>
    </row>
    <row r="383" spans="2:9" ht="23.2" customHeight="1">
      <c r="B383" s="14"/>
      <c r="I383" s="14"/>
    </row>
    <row r="384" spans="2:9" ht="23.2" customHeight="1">
      <c r="B384" s="14"/>
      <c r="I384" s="14"/>
    </row>
    <row r="385" spans="2:9" ht="23.2" customHeight="1">
      <c r="B385" s="14"/>
      <c r="I385" s="14"/>
    </row>
    <row r="386" spans="2:9" ht="23.2" customHeight="1">
      <c r="B386" s="14"/>
      <c r="I386" s="14"/>
    </row>
    <row r="387" spans="2:9" ht="23.2" customHeight="1">
      <c r="B387" s="14"/>
      <c r="I387" s="14"/>
    </row>
    <row r="388" spans="2:9" ht="23.2" customHeight="1">
      <c r="B388" s="14"/>
      <c r="I388" s="14"/>
    </row>
    <row r="389" spans="2:9" ht="23.2" customHeight="1">
      <c r="B389" s="14"/>
      <c r="I389" s="14"/>
    </row>
    <row r="390" spans="2:9" ht="23.2" customHeight="1">
      <c r="B390" s="14"/>
      <c r="I390" s="14"/>
    </row>
    <row r="391" spans="2:9" ht="23.2" customHeight="1">
      <c r="B391" s="14"/>
      <c r="I391" s="14"/>
    </row>
    <row r="392" spans="2:9" ht="23.2" customHeight="1">
      <c r="B392" s="14"/>
      <c r="I392" s="14"/>
    </row>
    <row r="393" spans="2:9" ht="23.2" customHeight="1">
      <c r="B393" s="14"/>
      <c r="I393" s="14"/>
    </row>
    <row r="394" spans="2:9" ht="23.2" customHeight="1">
      <c r="B394" s="14"/>
      <c r="I394" s="14"/>
    </row>
    <row r="395" spans="2:9" ht="23.2" customHeight="1">
      <c r="B395" s="14"/>
      <c r="I395" s="14"/>
    </row>
    <row r="396" spans="2:9" ht="23.2" customHeight="1">
      <c r="B396" s="14"/>
      <c r="I396" s="14"/>
    </row>
    <row r="397" spans="2:9" ht="23.2" customHeight="1">
      <c r="B397" s="14"/>
      <c r="I397" s="14"/>
    </row>
    <row r="398" spans="2:9" ht="23.2" customHeight="1">
      <c r="B398" s="14"/>
      <c r="I398" s="14"/>
    </row>
    <row r="399" spans="2:9" ht="23.2" customHeight="1">
      <c r="B399" s="14"/>
      <c r="I399" s="14"/>
    </row>
    <row r="400" spans="2:9" ht="23.2" customHeight="1">
      <c r="B400" s="14"/>
      <c r="I400" s="14"/>
    </row>
    <row r="401" spans="2:9" ht="23.2" customHeight="1">
      <c r="B401" s="14"/>
      <c r="I401" s="14"/>
    </row>
    <row r="402" spans="2:9" ht="23.2" customHeight="1">
      <c r="B402" s="14"/>
      <c r="I402" s="14"/>
    </row>
    <row r="403" spans="2:9" ht="23.2" customHeight="1">
      <c r="B403" s="14"/>
      <c r="I403" s="14"/>
    </row>
    <row r="404" spans="2:9" ht="23.2" customHeight="1">
      <c r="B404" s="14"/>
      <c r="I404" s="14"/>
    </row>
    <row r="405" spans="2:9" ht="23.2" customHeight="1">
      <c r="B405" s="14"/>
      <c r="I405" s="14"/>
    </row>
    <row r="406" spans="2:9" ht="23.2" customHeight="1">
      <c r="B406" s="14"/>
      <c r="I406" s="14"/>
    </row>
    <row r="407" spans="2:9" ht="23.2" customHeight="1">
      <c r="B407" s="14"/>
      <c r="I407" s="14"/>
    </row>
    <row r="408" spans="2:9" ht="23.2" customHeight="1">
      <c r="B408" s="14"/>
      <c r="I408" s="14"/>
    </row>
    <row r="409" spans="2:9" ht="23.2" customHeight="1">
      <c r="B409" s="14"/>
      <c r="I409" s="14"/>
    </row>
    <row r="410" spans="2:9" ht="23.2" customHeight="1">
      <c r="B410" s="14"/>
      <c r="I410" s="14"/>
    </row>
    <row r="411" spans="2:9" ht="23.2" customHeight="1">
      <c r="B411" s="14"/>
      <c r="I411" s="14"/>
    </row>
    <row r="412" spans="2:9" ht="23.2" customHeight="1">
      <c r="B412" s="14"/>
      <c r="I412" s="14"/>
    </row>
    <row r="413" spans="2:9" ht="23.2" customHeight="1">
      <c r="B413" s="14"/>
      <c r="I413" s="14"/>
    </row>
    <row r="414" spans="2:9" ht="23.2" customHeight="1">
      <c r="B414" s="14"/>
      <c r="I414" s="14"/>
    </row>
    <row r="415" spans="2:9" ht="23.2" customHeight="1">
      <c r="B415" s="14"/>
      <c r="I415" s="14"/>
    </row>
    <row r="416" spans="2:9" ht="23.2" customHeight="1">
      <c r="B416" s="14"/>
      <c r="I416" s="14"/>
    </row>
    <row r="417" spans="2:9" ht="23.2" customHeight="1">
      <c r="B417" s="14"/>
      <c r="I417" s="14"/>
    </row>
    <row r="418" spans="2:9" ht="23.2" customHeight="1">
      <c r="B418" s="14"/>
      <c r="I418" s="14"/>
    </row>
    <row r="419" spans="2:9" ht="23.2" customHeight="1">
      <c r="B419" s="14"/>
      <c r="I419" s="14"/>
    </row>
    <row r="420" spans="2:9" ht="23.2" customHeight="1">
      <c r="B420" s="14"/>
      <c r="I420" s="14"/>
    </row>
    <row r="421" spans="2:9" ht="23.2" customHeight="1">
      <c r="B421" s="14"/>
      <c r="I421" s="14"/>
    </row>
    <row r="422" spans="2:9" ht="23.2" customHeight="1">
      <c r="B422" s="14"/>
      <c r="I422" s="14"/>
    </row>
    <row r="423" spans="2:9" ht="23.2" customHeight="1">
      <c r="B423" s="14"/>
      <c r="I423" s="14"/>
    </row>
    <row r="424" spans="2:9" ht="23.2" customHeight="1">
      <c r="B424" s="14"/>
      <c r="I424" s="14"/>
    </row>
    <row r="425" spans="2:9" ht="23.2" customHeight="1">
      <c r="B425" s="14"/>
      <c r="I425" s="14"/>
    </row>
    <row r="426" spans="2:9" ht="23.2" customHeight="1">
      <c r="B426" s="14"/>
      <c r="I426" s="14"/>
    </row>
    <row r="427" spans="2:9" ht="23.2" customHeight="1">
      <c r="B427" s="14"/>
      <c r="I427" s="14"/>
    </row>
    <row r="428" spans="2:9" ht="23.2" customHeight="1">
      <c r="B428" s="14"/>
      <c r="I428" s="14"/>
    </row>
    <row r="429" spans="2:9" ht="23.2" customHeight="1">
      <c r="B429" s="14"/>
      <c r="I429" s="14"/>
    </row>
    <row r="430" spans="2:9" ht="23.2" customHeight="1">
      <c r="B430" s="14"/>
      <c r="I430" s="14"/>
    </row>
    <row r="431" spans="2:9" ht="23.2" customHeight="1">
      <c r="B431" s="14"/>
      <c r="I431" s="14"/>
    </row>
    <row r="432" spans="2:9" ht="23.2" customHeight="1">
      <c r="B432" s="14"/>
      <c r="I432" s="14"/>
    </row>
    <row r="433" spans="2:9" ht="23.2" customHeight="1">
      <c r="B433" s="14"/>
      <c r="I433" s="14"/>
    </row>
    <row r="434" spans="2:9" ht="23.2" customHeight="1">
      <c r="B434" s="14"/>
      <c r="I434" s="14"/>
    </row>
    <row r="435" spans="2:9" ht="23.2" customHeight="1">
      <c r="B435" s="14"/>
      <c r="I435" s="14"/>
    </row>
    <row r="436" spans="2:9" ht="23.2" customHeight="1">
      <c r="B436" s="14"/>
      <c r="I436" s="14"/>
    </row>
    <row r="437" spans="2:9" ht="23.2" customHeight="1">
      <c r="B437" s="14"/>
      <c r="I437" s="14"/>
    </row>
    <row r="438" spans="2:9" ht="23.2" customHeight="1">
      <c r="B438" s="14"/>
      <c r="I438" s="14"/>
    </row>
    <row r="439" spans="2:9" ht="23.2" customHeight="1">
      <c r="B439" s="14"/>
      <c r="I439" s="14"/>
    </row>
    <row r="440" spans="2:9" ht="23.2" customHeight="1">
      <c r="B440" s="14"/>
      <c r="I440" s="14"/>
    </row>
    <row r="441" spans="2:9" ht="23.2" customHeight="1">
      <c r="B441" s="14"/>
      <c r="I441" s="14"/>
    </row>
    <row r="442" spans="2:9" ht="23.2" customHeight="1">
      <c r="B442" s="14"/>
      <c r="I442" s="14"/>
    </row>
    <row r="443" spans="2:9" ht="23.2" customHeight="1">
      <c r="B443" s="14"/>
      <c r="I443" s="14"/>
    </row>
    <row r="444" spans="2:9" ht="23.2" customHeight="1">
      <c r="B444" s="14"/>
      <c r="I444" s="14"/>
    </row>
    <row r="445" spans="2:9" ht="23.2" customHeight="1">
      <c r="B445" s="14"/>
      <c r="I445" s="14"/>
    </row>
    <row r="446" spans="2:9" ht="23.2" customHeight="1">
      <c r="B446" s="14"/>
      <c r="I446" s="14"/>
    </row>
    <row r="447" spans="2:9" ht="23.2" customHeight="1">
      <c r="B447" s="14"/>
      <c r="I447" s="14"/>
    </row>
    <row r="448" spans="2:9" ht="23.2" customHeight="1">
      <c r="B448" s="14"/>
      <c r="I448" s="14"/>
    </row>
    <row r="449" spans="2:9" ht="23.2" customHeight="1">
      <c r="B449" s="14"/>
      <c r="I449" s="14"/>
    </row>
    <row r="450" spans="2:9" ht="23.2" customHeight="1">
      <c r="B450" s="14"/>
      <c r="I450" s="14"/>
    </row>
    <row r="451" spans="2:9" ht="23.2" customHeight="1">
      <c r="B451" s="14"/>
      <c r="I451" s="14"/>
    </row>
    <row r="452" spans="2:9" ht="23.2" customHeight="1">
      <c r="B452" s="14"/>
      <c r="I452" s="14"/>
    </row>
    <row r="453" spans="2:9" ht="23.2" customHeight="1">
      <c r="B453" s="14"/>
      <c r="I453" s="14"/>
    </row>
    <row r="454" spans="2:9" ht="23.2" customHeight="1">
      <c r="B454" s="14"/>
      <c r="I454" s="14"/>
    </row>
    <row r="455" spans="2:9" ht="23.2" customHeight="1">
      <c r="B455" s="14"/>
      <c r="I455" s="14"/>
    </row>
    <row r="456" spans="2:9" ht="23.2" customHeight="1">
      <c r="B456" s="14"/>
      <c r="I456" s="14"/>
    </row>
    <row r="457" spans="2:9" ht="23.2" customHeight="1">
      <c r="B457" s="14"/>
      <c r="I457" s="14"/>
    </row>
    <row r="458" spans="2:9" ht="23.2" customHeight="1">
      <c r="B458" s="14"/>
      <c r="I458" s="14"/>
    </row>
    <row r="459" spans="2:9" ht="23.2" customHeight="1">
      <c r="B459" s="14"/>
      <c r="I459" s="14"/>
    </row>
    <row r="460" spans="2:9" ht="23.2" customHeight="1">
      <c r="B460" s="14"/>
      <c r="I460" s="14"/>
    </row>
    <row r="461" spans="2:9" ht="23.2" customHeight="1">
      <c r="B461" s="14"/>
      <c r="I461" s="14"/>
    </row>
    <row r="462" spans="2:9" ht="23.2" customHeight="1">
      <c r="B462" s="14"/>
      <c r="I462" s="14"/>
    </row>
    <row r="463" spans="2:9" ht="23.2" customHeight="1">
      <c r="B463" s="14"/>
      <c r="I463" s="14"/>
    </row>
    <row r="464" spans="2:9" ht="23.2" customHeight="1">
      <c r="B464" s="14"/>
      <c r="I464" s="14"/>
    </row>
    <row r="465" spans="2:9" ht="23.2" customHeight="1">
      <c r="B465" s="14"/>
      <c r="I465" s="14"/>
    </row>
    <row r="466" spans="2:9" ht="23.2" customHeight="1">
      <c r="B466" s="14"/>
      <c r="I466" s="14"/>
    </row>
    <row r="467" spans="2:9" ht="23.2" customHeight="1">
      <c r="B467" s="14"/>
      <c r="I467" s="14"/>
    </row>
    <row r="468" spans="2:9" ht="23.2" customHeight="1">
      <c r="B468" s="14"/>
      <c r="I468" s="14"/>
    </row>
    <row r="469" spans="2:9" ht="23.2" customHeight="1">
      <c r="B469" s="14"/>
      <c r="I469" s="14"/>
    </row>
    <row r="470" spans="2:9" ht="23.2" customHeight="1">
      <c r="B470" s="14"/>
      <c r="I470" s="14"/>
    </row>
    <row r="471" spans="2:9" ht="23.2" customHeight="1">
      <c r="B471" s="14"/>
      <c r="I471" s="14"/>
    </row>
    <row r="472" spans="2:9" ht="23.2" customHeight="1">
      <c r="B472" s="14"/>
      <c r="I472" s="14"/>
    </row>
    <row r="473" spans="2:9" ht="23.2" customHeight="1">
      <c r="B473" s="14"/>
      <c r="I473" s="14"/>
    </row>
    <row r="474" spans="2:9" ht="23.2" customHeight="1">
      <c r="B474" s="14"/>
      <c r="I474" s="14"/>
    </row>
    <row r="475" spans="2:9" ht="23.2" customHeight="1">
      <c r="B475" s="14"/>
      <c r="I475" s="14"/>
    </row>
    <row r="476" spans="2:9" ht="23.2" customHeight="1">
      <c r="B476" s="14"/>
      <c r="I476" s="14"/>
    </row>
    <row r="477" spans="2:9" ht="23.2" customHeight="1">
      <c r="B477" s="14"/>
      <c r="I477" s="14"/>
    </row>
    <row r="478" spans="2:9" ht="23.2" customHeight="1">
      <c r="B478" s="14"/>
      <c r="I478" s="14"/>
    </row>
    <row r="479" spans="2:9" ht="23.2" customHeight="1">
      <c r="B479" s="14"/>
      <c r="I479" s="14"/>
    </row>
    <row r="480" spans="2:9" ht="23.2" customHeight="1">
      <c r="B480" s="14"/>
      <c r="I480" s="14"/>
    </row>
    <row r="481" spans="2:9" ht="23.2" customHeight="1">
      <c r="B481" s="14"/>
      <c r="I481" s="14"/>
    </row>
    <row r="482" spans="2:9" ht="23.2" customHeight="1">
      <c r="B482" s="14"/>
      <c r="I482" s="14"/>
    </row>
    <row r="483" spans="2:9" ht="23.2" customHeight="1">
      <c r="B483" s="14"/>
      <c r="I483" s="14"/>
    </row>
    <row r="484" spans="2:9" ht="23.2" customHeight="1">
      <c r="B484" s="14"/>
      <c r="I484" s="14"/>
    </row>
    <row r="485" spans="2:9" ht="23.2" customHeight="1">
      <c r="B485" s="14"/>
      <c r="I485" s="14"/>
    </row>
    <row r="486" spans="2:9" ht="23.2" customHeight="1">
      <c r="B486" s="14"/>
      <c r="I486" s="14"/>
    </row>
    <row r="487" spans="2:9" ht="23.2" customHeight="1">
      <c r="B487" s="14"/>
      <c r="I487" s="14"/>
    </row>
    <row r="488" spans="2:9" ht="23.2" customHeight="1">
      <c r="B488" s="14"/>
      <c r="I488" s="14"/>
    </row>
    <row r="489" spans="2:9" ht="23.2" customHeight="1">
      <c r="B489" s="14"/>
      <c r="I489" s="14"/>
    </row>
    <row r="490" spans="2:9" ht="23.2" customHeight="1">
      <c r="B490" s="14"/>
      <c r="I490" s="14"/>
    </row>
    <row r="491" spans="2:9" ht="23.2" customHeight="1">
      <c r="B491" s="14"/>
      <c r="I491" s="14"/>
    </row>
    <row r="492" spans="2:9" ht="23.2" customHeight="1">
      <c r="B492" s="14"/>
      <c r="I492" s="14"/>
    </row>
    <row r="493" spans="2:9" ht="23.2" customHeight="1">
      <c r="B493" s="14"/>
      <c r="I493" s="14"/>
    </row>
    <row r="494" spans="2:9" ht="23.2" customHeight="1">
      <c r="B494" s="14"/>
      <c r="I494" s="14"/>
    </row>
    <row r="495" spans="2:9" ht="23.2" customHeight="1">
      <c r="B495" s="14"/>
      <c r="I495" s="14"/>
    </row>
    <row r="496" spans="2:9" ht="23.2" customHeight="1">
      <c r="B496" s="14"/>
      <c r="I496" s="14"/>
    </row>
    <row r="497" spans="2:9" ht="23.2" customHeight="1">
      <c r="B497" s="14"/>
      <c r="I497" s="14"/>
    </row>
    <row r="498" spans="2:9" ht="23.2" customHeight="1">
      <c r="B498" s="14"/>
      <c r="I498" s="14"/>
    </row>
    <row r="499" spans="2:9" ht="23.2" customHeight="1">
      <c r="B499" s="14"/>
      <c r="I499" s="14"/>
    </row>
    <row r="500" spans="2:9" ht="23.2" customHeight="1">
      <c r="B500" s="14"/>
      <c r="I500" s="14"/>
    </row>
    <row r="501" spans="2:9" ht="23.2" customHeight="1">
      <c r="B501" s="14"/>
      <c r="I501" s="14"/>
    </row>
    <row r="502" spans="2:9" ht="23.2" customHeight="1">
      <c r="B502" s="14"/>
      <c r="I502" s="14"/>
    </row>
    <row r="503" spans="2:9" ht="23.2" customHeight="1">
      <c r="B503" s="14"/>
      <c r="I503" s="14"/>
    </row>
    <row r="504" spans="2:9" ht="23.2" customHeight="1">
      <c r="B504" s="14"/>
      <c r="I504" s="14"/>
    </row>
    <row r="505" spans="2:9" ht="23.2" customHeight="1">
      <c r="B505" s="14"/>
      <c r="I505" s="14"/>
    </row>
    <row r="506" spans="2:9" ht="23.2" customHeight="1">
      <c r="B506" s="14"/>
      <c r="I506" s="14"/>
    </row>
    <row r="507" spans="2:9" ht="23.2" customHeight="1">
      <c r="B507" s="14"/>
      <c r="I507" s="14"/>
    </row>
    <row r="508" spans="2:9" ht="23.2" customHeight="1">
      <c r="B508" s="14"/>
      <c r="I508" s="14"/>
    </row>
    <row r="509" spans="2:9" ht="23.2" customHeight="1">
      <c r="B509" s="14"/>
      <c r="I509" s="14"/>
    </row>
    <row r="510" spans="2:9" ht="23.2" customHeight="1">
      <c r="B510" s="14"/>
      <c r="I510" s="14"/>
    </row>
    <row r="511" spans="2:9" ht="23.2" customHeight="1">
      <c r="B511" s="14"/>
      <c r="I511" s="14"/>
    </row>
    <row r="512" spans="2:9" ht="23.2" customHeight="1">
      <c r="B512" s="14"/>
      <c r="I512" s="14"/>
    </row>
    <row r="513" spans="2:9" ht="23.2" customHeight="1">
      <c r="B513" s="14"/>
      <c r="I513" s="14"/>
    </row>
    <row r="514" spans="2:9" ht="23.2" customHeight="1">
      <c r="B514" s="14"/>
      <c r="I514" s="14"/>
    </row>
    <row r="515" spans="2:9" ht="23.2" customHeight="1">
      <c r="B515" s="14"/>
      <c r="I515" s="14"/>
    </row>
    <row r="516" spans="2:9" ht="23.2" customHeight="1">
      <c r="B516" s="14"/>
      <c r="I516" s="14"/>
    </row>
    <row r="517" spans="2:9" ht="23.2" customHeight="1">
      <c r="B517" s="14"/>
      <c r="I517" s="14"/>
    </row>
    <row r="518" spans="2:9" ht="23.2" customHeight="1">
      <c r="B518" s="14"/>
      <c r="I518" s="14"/>
    </row>
    <row r="519" spans="2:9" ht="23.2" customHeight="1">
      <c r="B519" s="14"/>
      <c r="I519" s="14"/>
    </row>
    <row r="520" spans="2:9" ht="23.2" customHeight="1">
      <c r="B520" s="14"/>
      <c r="I520" s="14"/>
    </row>
    <row r="521" spans="2:9" ht="23.2" customHeight="1">
      <c r="B521" s="14"/>
      <c r="I521" s="14"/>
    </row>
    <row r="522" spans="2:9" ht="23.2" customHeight="1">
      <c r="B522" s="14"/>
      <c r="I522" s="14"/>
    </row>
    <row r="523" spans="2:9" ht="23.2" customHeight="1">
      <c r="B523" s="14"/>
      <c r="I523" s="14"/>
    </row>
    <row r="524" spans="2:9" ht="23.2" customHeight="1">
      <c r="B524" s="14"/>
      <c r="I524" s="14"/>
    </row>
    <row r="525" spans="2:9" ht="23.2" customHeight="1">
      <c r="B525" s="14"/>
      <c r="I525" s="14"/>
    </row>
    <row r="526" spans="2:9" ht="23.2" customHeight="1">
      <c r="B526" s="14"/>
      <c r="I526" s="14"/>
    </row>
    <row r="527" spans="2:9" ht="23.2" customHeight="1">
      <c r="B527" s="14"/>
      <c r="I527" s="14"/>
    </row>
    <row r="528" spans="2:9" ht="23.2" customHeight="1">
      <c r="B528" s="14"/>
      <c r="I528" s="14"/>
    </row>
    <row r="529" spans="2:9" ht="23.2" customHeight="1">
      <c r="B529" s="14"/>
      <c r="I529" s="14"/>
    </row>
    <row r="530" spans="2:9" ht="23.2" customHeight="1">
      <c r="B530" s="14"/>
      <c r="I530" s="14"/>
    </row>
    <row r="531" spans="2:9" ht="23.2" customHeight="1">
      <c r="B531" s="14"/>
      <c r="I531" s="14"/>
    </row>
    <row r="532" spans="2:9" ht="23.2" customHeight="1">
      <c r="B532" s="14"/>
      <c r="I532" s="14"/>
    </row>
    <row r="533" spans="2:9" ht="23.2" customHeight="1">
      <c r="B533" s="14"/>
      <c r="I533" s="14"/>
    </row>
    <row r="534" spans="2:9" ht="23.2" customHeight="1">
      <c r="B534" s="14"/>
      <c r="I534" s="14"/>
    </row>
    <row r="535" spans="2:9" ht="23.2" customHeight="1">
      <c r="B535" s="14"/>
      <c r="I535" s="14"/>
    </row>
    <row r="536" spans="2:9" ht="23.2" customHeight="1">
      <c r="B536" s="14"/>
      <c r="I536" s="14"/>
    </row>
    <row r="537" spans="2:9" ht="23.2" customHeight="1">
      <c r="B537" s="14"/>
      <c r="I537" s="14"/>
    </row>
    <row r="538" spans="2:9" ht="23.2" customHeight="1">
      <c r="B538" s="14"/>
      <c r="I538" s="14"/>
    </row>
    <row r="539" spans="2:9" ht="23.2" customHeight="1">
      <c r="B539" s="14"/>
      <c r="I539" s="14"/>
    </row>
    <row r="540" spans="2:9" ht="23.2" customHeight="1">
      <c r="B540" s="14"/>
      <c r="I540" s="14"/>
    </row>
    <row r="541" spans="2:9" ht="23.2" customHeight="1">
      <c r="B541" s="14"/>
      <c r="I541" s="14"/>
    </row>
    <row r="542" spans="2:9" ht="23.2" customHeight="1">
      <c r="B542" s="14"/>
      <c r="I542" s="14"/>
    </row>
    <row r="543" spans="2:9" ht="23.2" customHeight="1">
      <c r="B543" s="14"/>
      <c r="I543" s="14"/>
    </row>
    <row r="544" spans="2:9" ht="23.2" customHeight="1">
      <c r="B544" s="14"/>
      <c r="I544" s="14"/>
    </row>
    <row r="545" spans="2:9" ht="23.2" customHeight="1">
      <c r="B545" s="14"/>
      <c r="I545" s="14"/>
    </row>
    <row r="546" spans="2:9" ht="23.2" customHeight="1">
      <c r="B546" s="14"/>
      <c r="I546" s="14"/>
    </row>
    <row r="547" spans="2:9" ht="23.2" customHeight="1">
      <c r="B547" s="14"/>
      <c r="I547" s="14"/>
    </row>
    <row r="548" spans="2:9" ht="23.2" customHeight="1">
      <c r="B548" s="14"/>
      <c r="I548" s="14"/>
    </row>
    <row r="549" spans="2:9" ht="23.2" customHeight="1">
      <c r="B549" s="14"/>
      <c r="I549" s="14"/>
    </row>
    <row r="550" spans="2:9" ht="23.2" customHeight="1">
      <c r="B550" s="14"/>
      <c r="I550" s="14"/>
    </row>
    <row r="551" spans="2:9" ht="23.2" customHeight="1">
      <c r="B551" s="14"/>
      <c r="I551" s="14"/>
    </row>
    <row r="552" spans="2:9" ht="23.2" customHeight="1">
      <c r="B552" s="14"/>
      <c r="I552" s="14"/>
    </row>
    <row r="553" spans="2:9" ht="23.2" customHeight="1">
      <c r="B553" s="14"/>
      <c r="I553" s="14"/>
    </row>
    <row r="554" spans="2:9" ht="23.2" customHeight="1">
      <c r="B554" s="14"/>
      <c r="I554" s="14"/>
    </row>
    <row r="555" spans="2:9" ht="23.2" customHeight="1">
      <c r="B555" s="14"/>
      <c r="I555" s="14"/>
    </row>
    <row r="556" spans="2:9" ht="23.2" customHeight="1">
      <c r="B556" s="14"/>
      <c r="I556" s="14"/>
    </row>
    <row r="557" spans="2:9" ht="23.2" customHeight="1">
      <c r="B557" s="14"/>
      <c r="I557" s="14"/>
    </row>
    <row r="558" spans="2:9" ht="23.2" customHeight="1">
      <c r="B558" s="14"/>
      <c r="I558" s="14"/>
    </row>
    <row r="559" spans="2:9" ht="23.2" customHeight="1">
      <c r="B559" s="14"/>
      <c r="I559" s="14"/>
    </row>
    <row r="560" spans="2:9" ht="23.2" customHeight="1">
      <c r="B560" s="14"/>
      <c r="I560" s="14"/>
    </row>
    <row r="561" spans="2:9" ht="23.2" customHeight="1">
      <c r="B561" s="14"/>
      <c r="I561" s="14"/>
    </row>
    <row r="562" spans="2:9" ht="23.2" customHeight="1">
      <c r="B562" s="14"/>
      <c r="I562" s="14"/>
    </row>
    <row r="563" spans="2:9" ht="23.2" customHeight="1">
      <c r="B563" s="14"/>
      <c r="I563" s="14"/>
    </row>
    <row r="564" spans="2:9" ht="23.2" customHeight="1">
      <c r="B564" s="14"/>
      <c r="I564" s="14"/>
    </row>
    <row r="565" spans="2:9" ht="23.2" customHeight="1">
      <c r="B565" s="14"/>
      <c r="I565" s="14"/>
    </row>
    <row r="566" spans="2:9" ht="23.2" customHeight="1">
      <c r="B566" s="14"/>
      <c r="I566" s="14"/>
    </row>
    <row r="567" spans="2:9" ht="23.2" customHeight="1">
      <c r="B567" s="14"/>
      <c r="I567" s="14"/>
    </row>
    <row r="568" spans="2:9" ht="23.2" customHeight="1">
      <c r="B568" s="14"/>
      <c r="I568" s="14"/>
    </row>
    <row r="569" spans="2:9" ht="23.2" customHeight="1">
      <c r="B569" s="14"/>
      <c r="I569" s="14"/>
    </row>
    <row r="570" spans="2:9" ht="23.2" customHeight="1">
      <c r="B570" s="14"/>
      <c r="I570" s="14"/>
    </row>
    <row r="571" spans="2:9" ht="23.2" customHeight="1">
      <c r="B571" s="14"/>
      <c r="I571" s="14"/>
    </row>
    <row r="572" spans="2:9" ht="23.2" customHeight="1">
      <c r="B572" s="14"/>
      <c r="I572" s="14"/>
    </row>
    <row r="573" spans="2:9" ht="23.2" customHeight="1">
      <c r="B573" s="14"/>
      <c r="I573" s="14"/>
    </row>
    <row r="574" spans="2:9" ht="23.2" customHeight="1">
      <c r="B574" s="14"/>
      <c r="I574" s="14"/>
    </row>
    <row r="575" spans="2:9" ht="23.2" customHeight="1">
      <c r="B575" s="14"/>
      <c r="I575" s="14"/>
    </row>
    <row r="576" spans="2:9" ht="23.2" customHeight="1">
      <c r="B576" s="14"/>
      <c r="I576" s="14"/>
    </row>
    <row r="577" spans="2:9" ht="23.2" customHeight="1">
      <c r="B577" s="14"/>
      <c r="I577" s="14"/>
    </row>
    <row r="578" spans="2:9" ht="23.2" customHeight="1">
      <c r="B578" s="14"/>
      <c r="I578" s="14"/>
    </row>
    <row r="579" spans="2:9" ht="23.2" customHeight="1">
      <c r="B579" s="14"/>
      <c r="I579" s="14"/>
    </row>
    <row r="580" spans="2:9" ht="23.2" customHeight="1">
      <c r="B580" s="14"/>
      <c r="I580" s="14"/>
    </row>
    <row r="581" spans="2:9" ht="23.2" customHeight="1">
      <c r="B581" s="14"/>
      <c r="I581" s="14"/>
    </row>
    <row r="582" spans="2:9" ht="23.2" customHeight="1">
      <c r="B582" s="14"/>
      <c r="I582" s="14"/>
    </row>
    <row r="583" spans="2:9" ht="23.2" customHeight="1">
      <c r="B583" s="14"/>
      <c r="I583" s="14"/>
    </row>
    <row r="584" spans="2:9" ht="23.2" customHeight="1">
      <c r="B584" s="14"/>
      <c r="I584" s="14"/>
    </row>
    <row r="585" spans="2:9" ht="23.2" customHeight="1">
      <c r="B585" s="14"/>
      <c r="I585" s="14"/>
    </row>
    <row r="586" spans="2:9" ht="23.2" customHeight="1">
      <c r="B586" s="14"/>
      <c r="I586" s="14"/>
    </row>
    <row r="587" spans="2:9" ht="23.2" customHeight="1">
      <c r="B587" s="14"/>
      <c r="I587" s="14"/>
    </row>
    <row r="588" spans="2:9" ht="23.2" customHeight="1">
      <c r="B588" s="14"/>
      <c r="I588" s="14"/>
    </row>
    <row r="589" spans="2:9" ht="23.2" customHeight="1">
      <c r="B589" s="14"/>
      <c r="I589" s="14"/>
    </row>
    <row r="590" spans="2:9" ht="23.2" customHeight="1">
      <c r="B590" s="14"/>
      <c r="I590" s="14"/>
    </row>
    <row r="591" spans="2:9" ht="23.2" customHeight="1">
      <c r="B591" s="14"/>
      <c r="I591" s="14"/>
    </row>
    <row r="592" spans="2:9" ht="23.2" customHeight="1">
      <c r="B592" s="14"/>
      <c r="I592" s="14"/>
    </row>
    <row r="593" spans="2:9" ht="23.2" customHeight="1">
      <c r="B593" s="14"/>
      <c r="I593" s="14"/>
    </row>
    <row r="594" spans="2:9" ht="23.2" customHeight="1">
      <c r="B594" s="14"/>
      <c r="I594" s="14"/>
    </row>
    <row r="595" spans="2:9" ht="23.2" customHeight="1">
      <c r="B595" s="14"/>
      <c r="I595" s="14"/>
    </row>
    <row r="596" spans="2:9" ht="23.2" customHeight="1">
      <c r="B596" s="14"/>
      <c r="I596" s="14"/>
    </row>
    <row r="597" spans="2:9" ht="23.2" customHeight="1">
      <c r="B597" s="14"/>
      <c r="I597" s="14"/>
    </row>
    <row r="598" spans="2:9" ht="23.2" customHeight="1">
      <c r="B598" s="14"/>
      <c r="I598" s="14"/>
    </row>
    <row r="599" spans="2:9" ht="23.2" customHeight="1">
      <c r="B599" s="14"/>
      <c r="I599" s="14"/>
    </row>
    <row r="600" spans="2:9" ht="23.2" customHeight="1">
      <c r="B600" s="14"/>
      <c r="I600" s="14"/>
    </row>
    <row r="601" spans="2:9" ht="23.2" customHeight="1">
      <c r="B601" s="14"/>
      <c r="I601" s="14"/>
    </row>
    <row r="602" spans="2:9" ht="23.2" customHeight="1">
      <c r="B602" s="14"/>
      <c r="I602" s="14"/>
    </row>
    <row r="603" spans="2:9" ht="23.2" customHeight="1">
      <c r="B603" s="14"/>
      <c r="I603" s="14"/>
    </row>
    <row r="604" spans="2:9" ht="23.2" customHeight="1">
      <c r="B604" s="14"/>
      <c r="I604" s="14"/>
    </row>
    <row r="605" spans="2:9" ht="23.2" customHeight="1">
      <c r="B605" s="14"/>
      <c r="I605" s="14"/>
    </row>
    <row r="606" spans="2:9" ht="23.2" customHeight="1">
      <c r="B606" s="14"/>
      <c r="I606" s="14"/>
    </row>
    <row r="607" spans="2:9" ht="23.2" customHeight="1">
      <c r="B607" s="14"/>
      <c r="I607" s="14"/>
    </row>
    <row r="608" spans="2:9" ht="23.2" customHeight="1">
      <c r="B608" s="14"/>
      <c r="I608" s="14"/>
    </row>
    <row r="609" spans="2:9" ht="23.2" customHeight="1">
      <c r="B609" s="14"/>
      <c r="I609" s="14"/>
    </row>
    <row r="610" spans="2:9" ht="23.2" customHeight="1">
      <c r="B610" s="14"/>
      <c r="I610" s="14"/>
    </row>
    <row r="611" spans="2:9" ht="23.2" customHeight="1">
      <c r="B611" s="14"/>
      <c r="I611" s="14"/>
    </row>
    <row r="612" spans="2:9" ht="23.2" customHeight="1">
      <c r="B612" s="14"/>
      <c r="I612" s="14"/>
    </row>
    <row r="613" spans="2:9" ht="23.2" customHeight="1">
      <c r="B613" s="14"/>
      <c r="I613" s="14"/>
    </row>
    <row r="614" spans="2:9" ht="23.2" customHeight="1">
      <c r="B614" s="14"/>
      <c r="I614" s="14"/>
    </row>
    <row r="615" spans="2:9" ht="23.2" customHeight="1">
      <c r="B615" s="14"/>
      <c r="I615" s="14"/>
    </row>
    <row r="616" spans="2:9" ht="23.2" customHeight="1">
      <c r="B616" s="14"/>
      <c r="I616" s="14"/>
    </row>
    <row r="617" spans="2:9" ht="23.2" customHeight="1">
      <c r="B617" s="14"/>
      <c r="I617" s="14"/>
    </row>
    <row r="618" spans="2:9" ht="23.2" customHeight="1">
      <c r="B618" s="14"/>
      <c r="I618" s="14"/>
    </row>
    <row r="619" spans="2:9" ht="23.2" customHeight="1">
      <c r="B619" s="14"/>
      <c r="I619" s="14"/>
    </row>
    <row r="620" spans="2:9" ht="23.2" customHeight="1">
      <c r="B620" s="14"/>
      <c r="I620" s="14"/>
    </row>
    <row r="621" spans="2:9" ht="23.2" customHeight="1">
      <c r="B621" s="14"/>
      <c r="I621" s="14"/>
    </row>
    <row r="622" spans="2:9" ht="23.2" customHeight="1">
      <c r="B622" s="14"/>
      <c r="I622" s="14"/>
    </row>
    <row r="623" spans="2:9" ht="23.2" customHeight="1">
      <c r="B623" s="14"/>
      <c r="I623" s="14"/>
    </row>
    <row r="624" spans="2:9" ht="23.2" customHeight="1">
      <c r="B624" s="14"/>
      <c r="I624" s="14"/>
    </row>
    <row r="625" spans="2:9" ht="23.2" customHeight="1">
      <c r="B625" s="14"/>
      <c r="I625" s="14"/>
    </row>
    <row r="626" spans="2:9" ht="23.2" customHeight="1">
      <c r="B626" s="14"/>
      <c r="I626" s="14"/>
    </row>
    <row r="627" spans="2:9" ht="23.2" customHeight="1">
      <c r="B627" s="14"/>
      <c r="I627" s="14"/>
    </row>
    <row r="628" spans="2:9" ht="23.2" customHeight="1">
      <c r="B628" s="14"/>
      <c r="I628" s="14"/>
    </row>
    <row r="629" spans="2:9" ht="23.2" customHeight="1">
      <c r="B629" s="14"/>
      <c r="I629" s="14"/>
    </row>
    <row r="630" spans="2:9" ht="23.2" customHeight="1">
      <c r="B630" s="14"/>
      <c r="I630" s="14"/>
    </row>
    <row r="631" spans="2:9" ht="23.2" customHeight="1">
      <c r="B631" s="14"/>
      <c r="I631" s="14"/>
    </row>
    <row r="632" spans="2:9" ht="23.2" customHeight="1">
      <c r="B632" s="14"/>
      <c r="I632" s="14"/>
    </row>
    <row r="633" spans="2:9" ht="23.2" customHeight="1">
      <c r="B633" s="14"/>
      <c r="I633" s="14"/>
    </row>
    <row r="634" spans="2:9" ht="23.2" customHeight="1">
      <c r="B634" s="14"/>
      <c r="I634" s="14"/>
    </row>
    <row r="635" spans="2:9" ht="23.2" customHeight="1">
      <c r="B635" s="14"/>
      <c r="I635" s="14"/>
    </row>
    <row r="636" spans="2:9" ht="23.2" customHeight="1">
      <c r="B636" s="14"/>
      <c r="I636" s="14"/>
    </row>
    <row r="637" spans="2:9" ht="23.2" customHeight="1">
      <c r="B637" s="14"/>
      <c r="I637" s="14"/>
    </row>
    <row r="638" spans="2:9" ht="23.2" customHeight="1">
      <c r="B638" s="14"/>
      <c r="I638" s="14"/>
    </row>
    <row r="639" spans="2:9" ht="23.2" customHeight="1">
      <c r="B639" s="14"/>
      <c r="I639" s="14"/>
    </row>
    <row r="640" spans="2:9" ht="23.2" customHeight="1">
      <c r="B640" s="14"/>
      <c r="I640" s="14"/>
    </row>
    <row r="641" spans="2:9" ht="23.2" customHeight="1">
      <c r="B641" s="14"/>
      <c r="I641" s="14"/>
    </row>
    <row r="642" spans="2:9" ht="23.2" customHeight="1">
      <c r="B642" s="14"/>
      <c r="I642" s="14"/>
    </row>
    <row r="643" spans="2:9" ht="23.2" customHeight="1">
      <c r="B643" s="14"/>
      <c r="I643" s="14"/>
    </row>
    <row r="644" spans="2:9" ht="23.2" customHeight="1">
      <c r="B644" s="14"/>
      <c r="I644" s="14"/>
    </row>
    <row r="645" spans="2:9" ht="23.2" customHeight="1">
      <c r="B645" s="14"/>
      <c r="I645" s="14"/>
    </row>
    <row r="646" spans="2:9" ht="23.2" customHeight="1">
      <c r="B646" s="14"/>
      <c r="I646" s="14"/>
    </row>
    <row r="647" spans="2:9" ht="23.2" customHeight="1">
      <c r="B647" s="14"/>
      <c r="I647" s="14"/>
    </row>
    <row r="648" spans="2:9" ht="23.2" customHeight="1">
      <c r="B648" s="14"/>
      <c r="I648" s="14"/>
    </row>
    <row r="649" spans="2:9" ht="23.2" customHeight="1">
      <c r="B649" s="14"/>
      <c r="I649" s="14"/>
    </row>
    <row r="650" spans="2:9" ht="23.2" customHeight="1">
      <c r="B650" s="14"/>
      <c r="I650" s="14"/>
    </row>
    <row r="651" spans="2:9" ht="23.2" customHeight="1">
      <c r="B651" s="14"/>
      <c r="I651" s="14"/>
    </row>
    <row r="652" spans="2:9" ht="23.2" customHeight="1">
      <c r="B652" s="14"/>
      <c r="I652" s="14"/>
    </row>
    <row r="653" spans="2:9" ht="23.2" customHeight="1">
      <c r="B653" s="14"/>
      <c r="I653" s="14"/>
    </row>
    <row r="654" spans="2:9" ht="23.2" customHeight="1">
      <c r="B654" s="14"/>
      <c r="I654" s="14"/>
    </row>
    <row r="655" spans="2:9" ht="23.2" customHeight="1">
      <c r="B655" s="14"/>
      <c r="I655" s="14"/>
    </row>
    <row r="656" spans="2:9" ht="23.2" customHeight="1">
      <c r="B656" s="14"/>
      <c r="I656" s="14"/>
    </row>
    <row r="657" spans="2:9" ht="23.2" customHeight="1">
      <c r="B657" s="14"/>
      <c r="I657" s="14"/>
    </row>
    <row r="658" spans="2:9" ht="23.2" customHeight="1">
      <c r="B658" s="14"/>
      <c r="I658" s="14"/>
    </row>
    <row r="659" spans="2:9" ht="23.2" customHeight="1">
      <c r="B659" s="14"/>
      <c r="I659" s="14"/>
    </row>
    <row r="660" spans="2:9" ht="23.2" customHeight="1">
      <c r="B660" s="14"/>
      <c r="I660" s="14"/>
    </row>
    <row r="661" spans="2:9" ht="23.2" customHeight="1">
      <c r="B661" s="14"/>
      <c r="I661" s="14"/>
    </row>
    <row r="662" spans="2:9" ht="23.2" customHeight="1">
      <c r="B662" s="14"/>
      <c r="I662" s="14"/>
    </row>
    <row r="663" spans="2:9" ht="23.2" customHeight="1">
      <c r="B663" s="14"/>
      <c r="I663" s="14"/>
    </row>
    <row r="664" spans="2:9" ht="23.2" customHeight="1">
      <c r="B664" s="14"/>
      <c r="I664" s="14"/>
    </row>
    <row r="665" spans="2:9" ht="23.2" customHeight="1">
      <c r="B665" s="14"/>
      <c r="I665" s="14"/>
    </row>
    <row r="666" spans="2:9" ht="23.2" customHeight="1">
      <c r="B666" s="14"/>
      <c r="I666" s="14"/>
    </row>
    <row r="667" spans="2:9" ht="23.2" customHeight="1">
      <c r="B667" s="14"/>
      <c r="I667" s="14"/>
    </row>
    <row r="668" spans="2:9" ht="23.2" customHeight="1">
      <c r="B668" s="14"/>
      <c r="I668" s="14"/>
    </row>
    <row r="669" spans="2:9" ht="23.2" customHeight="1">
      <c r="B669" s="14"/>
      <c r="I669" s="14"/>
    </row>
    <row r="670" spans="2:9" ht="23.2" customHeight="1">
      <c r="B670" s="14"/>
      <c r="I670" s="14"/>
    </row>
    <row r="671" spans="2:9" ht="23.2" customHeight="1">
      <c r="B671" s="14"/>
      <c r="I671" s="14"/>
    </row>
    <row r="672" spans="2:9" ht="23.2" customHeight="1">
      <c r="B672" s="14"/>
      <c r="I672" s="14"/>
    </row>
    <row r="673" spans="2:9" ht="23.2" customHeight="1">
      <c r="B673" s="14"/>
      <c r="I673" s="14"/>
    </row>
    <row r="674" spans="2:9" ht="23.2" customHeight="1">
      <c r="B674" s="14"/>
      <c r="I674" s="14"/>
    </row>
    <row r="675" spans="2:9" ht="23.2" customHeight="1">
      <c r="B675" s="14"/>
      <c r="I675" s="14"/>
    </row>
    <row r="676" spans="2:9" ht="23.2" customHeight="1">
      <c r="B676" s="14"/>
      <c r="I676" s="14"/>
    </row>
    <row r="677" spans="2:9" ht="23.2" customHeight="1">
      <c r="B677" s="14"/>
      <c r="I677" s="14"/>
    </row>
    <row r="678" spans="2:9" ht="23.2" customHeight="1">
      <c r="B678" s="14"/>
      <c r="I678" s="14"/>
    </row>
    <row r="679" spans="2:9" ht="23.2" customHeight="1">
      <c r="B679" s="14"/>
      <c r="I679" s="14"/>
    </row>
    <row r="680" spans="2:9" ht="23.2" customHeight="1">
      <c r="B680" s="14"/>
      <c r="I680" s="14"/>
    </row>
    <row r="681" spans="2:9" ht="23.2" customHeight="1">
      <c r="B681" s="14"/>
      <c r="I681" s="14"/>
    </row>
    <row r="682" spans="2:9" ht="23.2" customHeight="1">
      <c r="B682" s="14"/>
      <c r="I682" s="14"/>
    </row>
    <row r="683" spans="2:9" ht="23.2" customHeight="1">
      <c r="B683" s="14"/>
      <c r="I683" s="14"/>
    </row>
    <row r="684" spans="2:9" ht="23.2" customHeight="1">
      <c r="B684" s="14"/>
      <c r="I684" s="14"/>
    </row>
    <row r="685" spans="2:9" ht="23.2" customHeight="1">
      <c r="B685" s="14"/>
      <c r="I685" s="14"/>
    </row>
    <row r="686" spans="2:9" ht="23.2" customHeight="1">
      <c r="B686" s="14"/>
      <c r="I686" s="14"/>
    </row>
    <row r="687" spans="2:9" ht="23.2" customHeight="1">
      <c r="B687" s="14"/>
      <c r="I687" s="14"/>
    </row>
    <row r="688" spans="2:9" ht="23.2" customHeight="1">
      <c r="B688" s="14"/>
      <c r="I688" s="14"/>
    </row>
    <row r="689" spans="2:9" ht="23.2" customHeight="1">
      <c r="B689" s="14"/>
      <c r="I689" s="14"/>
    </row>
    <row r="690" spans="2:9" ht="23.2" customHeight="1">
      <c r="B690" s="14"/>
      <c r="I690" s="14"/>
    </row>
    <row r="691" spans="2:9" ht="23.2" customHeight="1">
      <c r="B691" s="14"/>
      <c r="I691" s="14"/>
    </row>
    <row r="692" spans="2:9" ht="23.2" customHeight="1">
      <c r="B692" s="14"/>
      <c r="I692" s="14"/>
    </row>
    <row r="693" spans="2:9" ht="23.2" customHeight="1">
      <c r="B693" s="14"/>
      <c r="I693" s="14"/>
    </row>
    <row r="694" spans="2:9" ht="23.2" customHeight="1">
      <c r="B694" s="14"/>
      <c r="I694" s="14"/>
    </row>
    <row r="695" spans="2:9" ht="23.2" customHeight="1">
      <c r="B695" s="14"/>
      <c r="I695" s="14"/>
    </row>
    <row r="696" spans="2:9" ht="23.2" customHeight="1">
      <c r="B696" s="14"/>
      <c r="I696" s="14"/>
    </row>
    <row r="697" spans="2:9" ht="23.2" customHeight="1">
      <c r="B697" s="14"/>
      <c r="I697" s="14"/>
    </row>
    <row r="698" spans="2:9" ht="23.2" customHeight="1">
      <c r="B698" s="14"/>
      <c r="I698" s="14"/>
    </row>
    <row r="699" spans="2:9" ht="23.2" customHeight="1">
      <c r="B699" s="14"/>
      <c r="I699" s="14"/>
    </row>
    <row r="700" spans="2:9" ht="23.2" customHeight="1">
      <c r="B700" s="14"/>
      <c r="I700" s="14"/>
    </row>
    <row r="701" spans="2:9" ht="23.2" customHeight="1">
      <c r="B701" s="14"/>
      <c r="I701" s="14"/>
    </row>
    <row r="702" spans="2:9" ht="23.2" customHeight="1">
      <c r="B702" s="14"/>
      <c r="I702" s="14"/>
    </row>
    <row r="703" spans="2:9" ht="23.2" customHeight="1">
      <c r="B703" s="14"/>
      <c r="I703" s="14"/>
    </row>
    <row r="704" spans="2:9" ht="23.2" customHeight="1">
      <c r="B704" s="14"/>
      <c r="I704" s="14"/>
    </row>
    <row r="705" spans="2:9" ht="23.2" customHeight="1">
      <c r="B705" s="14"/>
      <c r="I705" s="14"/>
    </row>
    <row r="706" spans="2:9" ht="23.2" customHeight="1">
      <c r="B706" s="14"/>
      <c r="I706" s="14"/>
    </row>
    <row r="707" spans="2:9" ht="23.2" customHeight="1">
      <c r="B707" s="14"/>
      <c r="I707" s="14"/>
    </row>
    <row r="708" spans="2:9" ht="23.2" customHeight="1">
      <c r="B708" s="14"/>
      <c r="I708" s="14"/>
    </row>
    <row r="709" spans="2:9" ht="23.2" customHeight="1">
      <c r="B709" s="14"/>
      <c r="I709" s="14"/>
    </row>
    <row r="710" spans="2:9" ht="23.2" customHeight="1">
      <c r="B710" s="14"/>
      <c r="I710" s="14"/>
    </row>
    <row r="711" spans="2:9" ht="23.2" customHeight="1">
      <c r="B711" s="14"/>
      <c r="I711" s="14"/>
    </row>
    <row r="712" spans="2:9" ht="23.2" customHeight="1">
      <c r="B712" s="14"/>
      <c r="I712" s="14"/>
    </row>
    <row r="713" spans="2:9" ht="23.2" customHeight="1">
      <c r="B713" s="14"/>
      <c r="I713" s="14"/>
    </row>
    <row r="714" spans="2:9" ht="23.2" customHeight="1">
      <c r="B714" s="14"/>
      <c r="I714" s="14"/>
    </row>
    <row r="715" spans="2:9" ht="23.2" customHeight="1">
      <c r="B715" s="14"/>
      <c r="I715" s="14"/>
    </row>
    <row r="716" spans="2:9" ht="23.2" customHeight="1">
      <c r="B716" s="14"/>
      <c r="I716" s="14"/>
    </row>
    <row r="717" spans="2:9" ht="23.2" customHeight="1">
      <c r="B717" s="14"/>
      <c r="I717" s="14"/>
    </row>
    <row r="718" spans="2:9" ht="23.2" customHeight="1">
      <c r="B718" s="14"/>
      <c r="I718" s="14"/>
    </row>
    <row r="719" spans="2:9" ht="23.2" customHeight="1">
      <c r="B719" s="14"/>
      <c r="I719" s="14"/>
    </row>
    <row r="720" spans="2:9" ht="23.2" customHeight="1">
      <c r="B720" s="14"/>
      <c r="I720" s="14"/>
    </row>
    <row r="721" spans="2:9" ht="23.2" customHeight="1">
      <c r="B721" s="14"/>
      <c r="I721" s="14"/>
    </row>
    <row r="722" spans="2:9" ht="23.2" customHeight="1">
      <c r="B722" s="14"/>
      <c r="I722" s="14"/>
    </row>
    <row r="723" spans="2:9" ht="23.2" customHeight="1">
      <c r="B723" s="14"/>
      <c r="I723" s="14"/>
    </row>
    <row r="724" spans="2:9" ht="23.2" customHeight="1">
      <c r="B724" s="14"/>
      <c r="I724" s="14"/>
    </row>
    <row r="725" spans="2:9" ht="23.2" customHeight="1">
      <c r="B725" s="14"/>
      <c r="I725" s="14"/>
    </row>
    <row r="726" spans="2:9" ht="23.2" customHeight="1">
      <c r="B726" s="14"/>
      <c r="I726" s="14"/>
    </row>
    <row r="727" spans="2:9" ht="23.2" customHeight="1">
      <c r="B727" s="14"/>
      <c r="I727" s="14"/>
    </row>
    <row r="728" spans="2:9" ht="23.2" customHeight="1">
      <c r="B728" s="14"/>
      <c r="I728" s="14"/>
    </row>
    <row r="729" spans="2:9" ht="23.2" customHeight="1">
      <c r="B729" s="14"/>
      <c r="I729" s="14"/>
    </row>
    <row r="730" spans="2:9" ht="23.2" customHeight="1">
      <c r="B730" s="14"/>
      <c r="I730" s="14"/>
    </row>
    <row r="731" spans="2:9" ht="23.2" customHeight="1">
      <c r="B731" s="14"/>
      <c r="I731" s="14"/>
    </row>
    <row r="732" spans="2:9" ht="23.2" customHeight="1">
      <c r="B732" s="14"/>
      <c r="I732" s="14"/>
    </row>
    <row r="733" spans="2:9" ht="23.2" customHeight="1">
      <c r="B733" s="14"/>
      <c r="I733" s="14"/>
    </row>
    <row r="734" spans="2:9" ht="23.2" customHeight="1">
      <c r="B734" s="14"/>
      <c r="I734" s="14"/>
    </row>
    <row r="735" spans="2:9" ht="23.2" customHeight="1">
      <c r="B735" s="14"/>
      <c r="I735" s="14"/>
    </row>
    <row r="736" spans="2:9" ht="23.2" customHeight="1">
      <c r="B736" s="14"/>
      <c r="I736" s="14"/>
    </row>
    <row r="737" spans="2:9" ht="23.2" customHeight="1">
      <c r="B737" s="14"/>
      <c r="I737" s="14"/>
    </row>
    <row r="738" spans="2:9" ht="23.2" customHeight="1">
      <c r="B738" s="14"/>
      <c r="I738" s="14"/>
    </row>
    <row r="739" spans="2:9" ht="23.2" customHeight="1">
      <c r="B739" s="14"/>
      <c r="I739" s="14"/>
    </row>
    <row r="740" spans="2:9" ht="23.2" customHeight="1">
      <c r="B740" s="14"/>
      <c r="I740" s="14"/>
    </row>
    <row r="741" spans="2:9" ht="23.2" customHeight="1">
      <c r="B741" s="14"/>
      <c r="I741" s="14"/>
    </row>
    <row r="742" spans="2:9" ht="23.2" customHeight="1">
      <c r="B742" s="14"/>
      <c r="I742" s="14"/>
    </row>
    <row r="743" spans="2:9" ht="23.2" customHeight="1">
      <c r="B743" s="14"/>
      <c r="I743" s="14"/>
    </row>
    <row r="744" spans="2:9" ht="23.2" customHeight="1">
      <c r="B744" s="14"/>
      <c r="I744" s="14"/>
    </row>
    <row r="745" spans="2:9" ht="23.2" customHeight="1">
      <c r="B745" s="14"/>
      <c r="I745" s="14"/>
    </row>
    <row r="746" spans="2:9" ht="23.2" customHeight="1">
      <c r="B746" s="14"/>
      <c r="I746" s="14"/>
    </row>
    <row r="747" spans="2:9" ht="23.2" customHeight="1">
      <c r="B747" s="14"/>
      <c r="I747" s="14"/>
    </row>
    <row r="748" spans="2:9" ht="23.2" customHeight="1">
      <c r="B748" s="14"/>
      <c r="I748" s="14"/>
    </row>
    <row r="749" spans="2:9" ht="23.2" customHeight="1">
      <c r="B749" s="14"/>
      <c r="I749" s="14"/>
    </row>
    <row r="750" spans="2:9" ht="23.2" customHeight="1">
      <c r="B750" s="14"/>
      <c r="I750" s="14"/>
    </row>
    <row r="751" spans="2:9" ht="23.2" customHeight="1">
      <c r="B751" s="14"/>
      <c r="I751" s="14"/>
    </row>
    <row r="752" spans="2:9" ht="23.2" customHeight="1">
      <c r="B752" s="14"/>
      <c r="I752" s="14"/>
    </row>
    <row r="753" spans="2:9" ht="23.2" customHeight="1">
      <c r="B753" s="14"/>
      <c r="I753" s="14"/>
    </row>
    <row r="754" spans="2:9" ht="23.2" customHeight="1">
      <c r="B754" s="14"/>
      <c r="I754" s="14"/>
    </row>
    <row r="755" spans="2:9" ht="23.2" customHeight="1">
      <c r="B755" s="14"/>
      <c r="I755" s="14"/>
    </row>
    <row r="756" spans="2:9" ht="23.2" customHeight="1">
      <c r="B756" s="14"/>
      <c r="I756" s="14"/>
    </row>
    <row r="757" spans="2:9" ht="23.2" customHeight="1">
      <c r="B757" s="14"/>
      <c r="I757" s="14"/>
    </row>
    <row r="758" spans="2:9" ht="23.2" customHeight="1">
      <c r="B758" s="14"/>
      <c r="I758" s="14"/>
    </row>
    <row r="759" spans="2:9" ht="23.2" customHeight="1">
      <c r="B759" s="14"/>
      <c r="I759" s="14"/>
    </row>
    <row r="760" spans="2:9" ht="23.2" customHeight="1">
      <c r="B760" s="14"/>
      <c r="I760" s="14"/>
    </row>
    <row r="761" spans="2:9" ht="23.2" customHeight="1">
      <c r="B761" s="14"/>
      <c r="I761" s="14"/>
    </row>
    <row r="762" spans="2:9" ht="23.2" customHeight="1">
      <c r="B762" s="14"/>
      <c r="I762" s="14"/>
    </row>
    <row r="763" spans="2:9" ht="23.2" customHeight="1">
      <c r="B763" s="14"/>
      <c r="I763" s="14"/>
    </row>
    <row r="764" spans="2:9" ht="23.2" customHeight="1">
      <c r="B764" s="14"/>
      <c r="I764" s="14"/>
    </row>
    <row r="765" spans="2:9" ht="23.2" customHeight="1">
      <c r="B765" s="14"/>
      <c r="I765" s="14"/>
    </row>
    <row r="766" spans="2:9" ht="23.2" customHeight="1">
      <c r="B766" s="14"/>
      <c r="I766" s="14"/>
    </row>
    <row r="767" spans="2:9" ht="23.2" customHeight="1">
      <c r="B767" s="14"/>
      <c r="I767" s="14"/>
    </row>
    <row r="768" spans="2:9" ht="23.2" customHeight="1">
      <c r="B768" s="14"/>
      <c r="I768" s="14"/>
    </row>
    <row r="769" spans="2:9" ht="23.2" customHeight="1">
      <c r="B769" s="14"/>
      <c r="I769" s="14"/>
    </row>
    <row r="770" spans="2:9" ht="23.2" customHeight="1">
      <c r="B770" s="14"/>
      <c r="I770" s="14"/>
    </row>
    <row r="771" spans="2:9" ht="23.2" customHeight="1">
      <c r="B771" s="14"/>
      <c r="I771" s="14"/>
    </row>
    <row r="772" spans="2:9" ht="23.2" customHeight="1">
      <c r="B772" s="14"/>
      <c r="I772" s="14"/>
    </row>
    <row r="773" spans="2:9" ht="23.2" customHeight="1">
      <c r="B773" s="14"/>
      <c r="I773" s="14"/>
    </row>
    <row r="774" spans="2:9" ht="23.2" customHeight="1">
      <c r="B774" s="14"/>
      <c r="I774" s="14"/>
    </row>
    <row r="775" spans="2:9" ht="23.2" customHeight="1">
      <c r="B775" s="14"/>
      <c r="I775" s="14"/>
    </row>
    <row r="776" spans="2:9" ht="23.2" customHeight="1">
      <c r="B776" s="14"/>
      <c r="I776" s="14"/>
    </row>
    <row r="777" spans="2:9" ht="23.2" customHeight="1">
      <c r="B777" s="14"/>
      <c r="I777" s="14"/>
    </row>
    <row r="778" spans="2:9" ht="23.2" customHeight="1">
      <c r="B778" s="14"/>
      <c r="I778" s="14"/>
    </row>
    <row r="779" spans="2:9" ht="23.2" customHeight="1">
      <c r="B779" s="14"/>
      <c r="I779" s="14"/>
    </row>
    <row r="780" spans="2:9" ht="23.2" customHeight="1">
      <c r="B780" s="14"/>
      <c r="I780" s="14"/>
    </row>
    <row r="781" spans="2:9" ht="23.2" customHeight="1">
      <c r="B781" s="14"/>
      <c r="I781" s="14"/>
    </row>
    <row r="782" spans="2:9" ht="23.2" customHeight="1">
      <c r="B782" s="14"/>
      <c r="I782" s="14"/>
    </row>
    <row r="783" spans="2:9" ht="23.2" customHeight="1">
      <c r="B783" s="14"/>
      <c r="I783" s="14"/>
    </row>
    <row r="784" spans="2:9" ht="23.2" customHeight="1">
      <c r="B784" s="14"/>
      <c r="I784" s="14"/>
    </row>
    <row r="785" spans="2:9" ht="23.2" customHeight="1">
      <c r="B785" s="14"/>
      <c r="I785" s="14"/>
    </row>
    <row r="786" spans="2:9" ht="23.2" customHeight="1">
      <c r="B786" s="14"/>
      <c r="I786" s="14"/>
    </row>
    <row r="787" spans="2:9" ht="23.2" customHeight="1">
      <c r="B787" s="14"/>
      <c r="I787" s="14"/>
    </row>
    <row r="788" spans="2:9" ht="23.2" customHeight="1">
      <c r="B788" s="14"/>
      <c r="I788" s="14"/>
    </row>
    <row r="789" spans="2:9" ht="23.2" customHeight="1">
      <c r="B789" s="14"/>
      <c r="I789" s="14"/>
    </row>
    <row r="790" spans="2:9" ht="23.2" customHeight="1">
      <c r="B790" s="14"/>
      <c r="I790" s="14"/>
    </row>
    <row r="791" spans="2:9" ht="23.2" customHeight="1">
      <c r="B791" s="14"/>
      <c r="I791" s="14"/>
    </row>
    <row r="792" spans="2:9" ht="23.2" customHeight="1">
      <c r="B792" s="14"/>
      <c r="I792" s="14"/>
    </row>
    <row r="793" spans="2:9" ht="23.2" customHeight="1">
      <c r="B793" s="14"/>
      <c r="I793" s="14"/>
    </row>
    <row r="794" spans="2:9" ht="23.2" customHeight="1">
      <c r="B794" s="14"/>
      <c r="I794" s="14"/>
    </row>
    <row r="795" spans="2:9" ht="23.2" customHeight="1">
      <c r="B795" s="14"/>
      <c r="I795" s="14"/>
    </row>
    <row r="796" spans="2:9" ht="23.2" customHeight="1">
      <c r="B796" s="14"/>
      <c r="I796" s="14"/>
    </row>
    <row r="797" spans="2:9" ht="23.2" customHeight="1">
      <c r="B797" s="14"/>
      <c r="I797" s="14"/>
    </row>
    <row r="798" spans="2:9" ht="23.2" customHeight="1">
      <c r="B798" s="14"/>
      <c r="I798" s="14"/>
    </row>
    <row r="799" spans="2:9" ht="23.2" customHeight="1">
      <c r="B799" s="14"/>
      <c r="I799" s="14"/>
    </row>
    <row r="800" spans="2:9" ht="23.2" customHeight="1">
      <c r="B800" s="14"/>
      <c r="I800" s="14"/>
    </row>
    <row r="801" spans="2:9" ht="23.2" customHeight="1">
      <c r="B801" s="14"/>
      <c r="I801" s="14"/>
    </row>
    <row r="802" spans="2:9" ht="23.2" customHeight="1">
      <c r="B802" s="14"/>
      <c r="I802" s="14"/>
    </row>
    <row r="803" spans="2:9" ht="23.2" customHeight="1">
      <c r="B803" s="14"/>
      <c r="I803" s="14"/>
    </row>
    <row r="804" spans="2:9" ht="23.2" customHeight="1">
      <c r="B804" s="14"/>
      <c r="I804" s="14"/>
    </row>
    <row r="805" spans="2:9" ht="23.2" customHeight="1">
      <c r="B805" s="14"/>
      <c r="I805" s="14"/>
    </row>
    <row r="806" spans="2:9" ht="23.2" customHeight="1">
      <c r="B806" s="14"/>
      <c r="I806" s="14"/>
    </row>
    <row r="807" spans="2:9" ht="23.2" customHeight="1">
      <c r="B807" s="14"/>
      <c r="I807" s="14"/>
    </row>
    <row r="808" spans="2:9" ht="23.2" customHeight="1">
      <c r="B808" s="14"/>
      <c r="I808" s="14"/>
    </row>
    <row r="809" spans="2:9" ht="23.2" customHeight="1">
      <c r="B809" s="14"/>
      <c r="I809" s="14"/>
    </row>
    <row r="810" spans="2:9" ht="23.2" customHeight="1">
      <c r="B810" s="14"/>
      <c r="I810" s="14"/>
    </row>
    <row r="811" spans="2:9" ht="23.2" customHeight="1">
      <c r="B811" s="14"/>
      <c r="I811" s="14"/>
    </row>
    <row r="812" spans="2:9" ht="23.2" customHeight="1">
      <c r="B812" s="14"/>
      <c r="I812" s="14"/>
    </row>
    <row r="813" spans="2:9" ht="23.2" customHeight="1">
      <c r="B813" s="14"/>
      <c r="I813" s="14"/>
    </row>
    <row r="814" spans="2:9" ht="23.2" customHeight="1">
      <c r="B814" s="14"/>
      <c r="I814" s="14"/>
    </row>
    <row r="815" spans="2:9" ht="23.2" customHeight="1">
      <c r="B815" s="14"/>
      <c r="I815" s="14"/>
    </row>
    <row r="816" spans="2:9" ht="23.2" customHeight="1">
      <c r="B816" s="14"/>
      <c r="I816" s="14"/>
    </row>
    <row r="817" spans="2:9" ht="23.2" customHeight="1">
      <c r="B817" s="14"/>
      <c r="I817" s="14"/>
    </row>
    <row r="818" spans="2:9" ht="23.2" customHeight="1">
      <c r="B818" s="14"/>
      <c r="I818" s="14"/>
    </row>
    <row r="819" spans="2:9" ht="23.2" customHeight="1">
      <c r="B819" s="14"/>
      <c r="I819" s="14"/>
    </row>
    <row r="820" spans="2:9" ht="23.2" customHeight="1">
      <c r="B820" s="14"/>
      <c r="I820" s="14"/>
    </row>
    <row r="821" spans="2:9" ht="23.2" customHeight="1">
      <c r="B821" s="14"/>
      <c r="I821" s="14"/>
    </row>
    <row r="822" spans="2:9" ht="23.2" customHeight="1">
      <c r="B822" s="14"/>
      <c r="I822" s="14"/>
    </row>
    <row r="823" spans="2:9" ht="23.2" customHeight="1">
      <c r="B823" s="14"/>
      <c r="I823" s="14"/>
    </row>
    <row r="824" spans="2:9" ht="23.2" customHeight="1">
      <c r="B824" s="14"/>
      <c r="I824" s="14"/>
    </row>
    <row r="825" spans="2:9" ht="23.2" customHeight="1">
      <c r="B825" s="14"/>
      <c r="I825" s="14"/>
    </row>
    <row r="826" spans="2:9" ht="23.2" customHeight="1">
      <c r="B826" s="14"/>
      <c r="I826" s="14"/>
    </row>
    <row r="827" spans="2:9" ht="23.2" customHeight="1">
      <c r="B827" s="14"/>
      <c r="I827" s="14"/>
    </row>
    <row r="828" spans="2:9" ht="23.2" customHeight="1">
      <c r="B828" s="14"/>
      <c r="I828" s="14"/>
    </row>
    <row r="829" spans="2:9" ht="23.2" customHeight="1">
      <c r="B829" s="14"/>
      <c r="I829" s="14"/>
    </row>
    <row r="830" spans="2:9" ht="23.2" customHeight="1">
      <c r="B830" s="14"/>
      <c r="I830" s="14"/>
    </row>
    <row r="831" spans="2:9" ht="23.2" customHeight="1">
      <c r="B831" s="14"/>
      <c r="I831" s="14"/>
    </row>
    <row r="832" spans="2:9" ht="23.2" customHeight="1">
      <c r="B832" s="14"/>
      <c r="I832" s="14"/>
    </row>
    <row r="833" spans="2:9" ht="23.2" customHeight="1">
      <c r="B833" s="14"/>
      <c r="I833" s="14"/>
    </row>
    <row r="834" spans="2:9" ht="23.2" customHeight="1">
      <c r="B834" s="14"/>
      <c r="I834" s="14"/>
    </row>
    <row r="835" spans="2:9" ht="23.2" customHeight="1">
      <c r="B835" s="14"/>
      <c r="I835" s="14"/>
    </row>
    <row r="836" spans="2:9" ht="23.2" customHeight="1">
      <c r="B836" s="14"/>
      <c r="I836" s="14"/>
    </row>
    <row r="837" spans="2:9" ht="23.2" customHeight="1">
      <c r="B837" s="14"/>
      <c r="I837" s="14"/>
    </row>
    <row r="838" spans="2:9" ht="23.2" customHeight="1">
      <c r="B838" s="14"/>
      <c r="I838" s="14"/>
    </row>
    <row r="839" spans="2:9" ht="23.2" customHeight="1">
      <c r="B839" s="14"/>
      <c r="I839" s="14"/>
    </row>
    <row r="840" spans="2:9" ht="23.2" customHeight="1">
      <c r="B840" s="14"/>
      <c r="I840" s="14"/>
    </row>
    <row r="841" spans="2:9" ht="23.2" customHeight="1">
      <c r="B841" s="14"/>
      <c r="I841" s="14"/>
    </row>
    <row r="842" spans="2:9" ht="23.2" customHeight="1">
      <c r="B842" s="14"/>
      <c r="I842" s="14"/>
    </row>
    <row r="843" spans="2:9" ht="23.2" customHeight="1">
      <c r="B843" s="14"/>
      <c r="I843" s="14"/>
    </row>
    <row r="844" spans="2:9" ht="23.2" customHeight="1">
      <c r="B844" s="14"/>
      <c r="I844" s="14"/>
    </row>
    <row r="845" spans="2:9" ht="23.2" customHeight="1">
      <c r="B845" s="14"/>
      <c r="I845" s="14"/>
    </row>
    <row r="846" spans="2:9" ht="23.2" customHeight="1">
      <c r="B846" s="14"/>
      <c r="I846" s="14"/>
    </row>
    <row r="847" spans="2:9" ht="23.2" customHeight="1">
      <c r="B847" s="14"/>
      <c r="I847" s="14"/>
    </row>
    <row r="848" spans="2:9" ht="23.2" customHeight="1">
      <c r="B848" s="14"/>
      <c r="I848" s="14"/>
    </row>
    <row r="849" spans="2:9" ht="23.2" customHeight="1">
      <c r="B849" s="14"/>
      <c r="I849" s="14"/>
    </row>
    <row r="850" spans="2:9" ht="23.2" customHeight="1">
      <c r="B850" s="14"/>
      <c r="I850" s="14"/>
    </row>
    <row r="851" spans="2:9" ht="23.2" customHeight="1">
      <c r="B851" s="14"/>
      <c r="I851" s="14"/>
    </row>
    <row r="852" spans="2:9" ht="23.2" customHeight="1">
      <c r="B852" s="14"/>
      <c r="I852" s="14"/>
    </row>
    <row r="853" spans="2:9" ht="23.2" customHeight="1">
      <c r="B853" s="14"/>
      <c r="I853" s="14"/>
    </row>
    <row r="854" spans="2:9" ht="23.2" customHeight="1">
      <c r="B854" s="14"/>
      <c r="I854" s="14"/>
    </row>
    <row r="855" spans="2:9" ht="23.2" customHeight="1">
      <c r="B855" s="14"/>
      <c r="I855" s="14"/>
    </row>
    <row r="856" spans="2:9" ht="23.2" customHeight="1">
      <c r="B856" s="14"/>
      <c r="I856" s="14"/>
    </row>
    <row r="857" spans="2:9" ht="23.2" customHeight="1">
      <c r="B857" s="14"/>
      <c r="I857" s="14"/>
    </row>
    <row r="858" spans="2:9" ht="23.2" customHeight="1">
      <c r="B858" s="14"/>
      <c r="I858" s="14"/>
    </row>
    <row r="859" spans="2:9" ht="23.2" customHeight="1">
      <c r="B859" s="14"/>
      <c r="I859" s="14"/>
    </row>
    <row r="860" spans="2:9" ht="23.2" customHeight="1">
      <c r="B860" s="14"/>
      <c r="I860" s="14"/>
    </row>
    <row r="861" spans="2:9" ht="23.2" customHeight="1">
      <c r="B861" s="14"/>
      <c r="I861" s="14"/>
    </row>
    <row r="862" spans="2:9" ht="23.2" customHeight="1">
      <c r="B862" s="14"/>
      <c r="I862" s="14"/>
    </row>
    <row r="863" spans="2:9" ht="23.2" customHeight="1">
      <c r="B863" s="14"/>
      <c r="I863" s="14"/>
    </row>
    <row r="864" spans="2:9" ht="23.2" customHeight="1">
      <c r="B864" s="14"/>
      <c r="I864" s="14"/>
    </row>
    <row r="865" spans="2:9" ht="23.2" customHeight="1">
      <c r="B865" s="14"/>
      <c r="I865" s="14"/>
    </row>
    <row r="866" spans="2:9" ht="23.2" customHeight="1">
      <c r="B866" s="14"/>
      <c r="I866" s="14"/>
    </row>
    <row r="867" spans="2:9" ht="23.2" customHeight="1">
      <c r="B867" s="14"/>
      <c r="I867" s="14"/>
    </row>
    <row r="868" spans="2:9" ht="23.2" customHeight="1">
      <c r="B868" s="14"/>
      <c r="I868" s="14"/>
    </row>
    <row r="869" spans="2:9" ht="23.2" customHeight="1">
      <c r="B869" s="14"/>
      <c r="I869" s="14"/>
    </row>
    <row r="870" spans="2:9" ht="23.2" customHeight="1">
      <c r="B870" s="14"/>
      <c r="I870" s="14"/>
    </row>
    <row r="871" spans="2:9" ht="23.2" customHeight="1">
      <c r="B871" s="14"/>
      <c r="I871" s="14"/>
    </row>
    <row r="872" spans="2:9" ht="23.2" customHeight="1">
      <c r="B872" s="14"/>
      <c r="I872" s="14"/>
    </row>
    <row r="873" spans="2:9" ht="23.2" customHeight="1">
      <c r="B873" s="14"/>
      <c r="I873" s="14"/>
    </row>
    <row r="874" spans="2:9" ht="23.2" customHeight="1">
      <c r="B874" s="14"/>
      <c r="I874" s="14"/>
    </row>
    <row r="875" spans="2:9" ht="23.2" customHeight="1">
      <c r="B875" s="14"/>
      <c r="I875" s="14"/>
    </row>
    <row r="876" spans="2:9" ht="23.2" customHeight="1">
      <c r="B876" s="14"/>
      <c r="I876" s="14"/>
    </row>
    <row r="877" spans="2:9" ht="23.2" customHeight="1">
      <c r="B877" s="14"/>
      <c r="I877" s="14"/>
    </row>
    <row r="878" spans="2:9" ht="23.2" customHeight="1">
      <c r="B878" s="14"/>
      <c r="I878" s="14"/>
    </row>
    <row r="879" spans="2:9" ht="23.2" customHeight="1">
      <c r="B879" s="14"/>
      <c r="I879" s="14"/>
    </row>
    <row r="880" spans="2:9" ht="23.2" customHeight="1">
      <c r="B880" s="14"/>
      <c r="I880" s="14"/>
    </row>
    <row r="881" spans="2:9" ht="23.2" customHeight="1">
      <c r="B881" s="14"/>
      <c r="I881" s="14"/>
    </row>
    <row r="882" spans="2:9" ht="23.2" customHeight="1">
      <c r="B882" s="14"/>
      <c r="I882" s="14"/>
    </row>
    <row r="883" spans="2:9" ht="23.2" customHeight="1">
      <c r="B883" s="14"/>
      <c r="I883" s="14"/>
    </row>
    <row r="884" spans="2:9" ht="23.2" customHeight="1">
      <c r="B884" s="14"/>
      <c r="I884" s="14"/>
    </row>
    <row r="885" spans="2:9" ht="23.2" customHeight="1">
      <c r="B885" s="14"/>
      <c r="I885" s="14"/>
    </row>
    <row r="886" spans="2:9" ht="23.2" customHeight="1">
      <c r="B886" s="14"/>
      <c r="I886" s="14"/>
    </row>
    <row r="887" spans="2:9" ht="23.2" customHeight="1">
      <c r="B887" s="14"/>
      <c r="I887" s="14"/>
    </row>
    <row r="888" spans="2:9" ht="23.2" customHeight="1">
      <c r="B888" s="14"/>
      <c r="I888" s="14"/>
    </row>
    <row r="889" spans="2:9" ht="23.2" customHeight="1">
      <c r="B889" s="14"/>
      <c r="I889" s="14"/>
    </row>
    <row r="890" spans="2:9" ht="23.2" customHeight="1">
      <c r="B890" s="14"/>
      <c r="I890" s="14"/>
    </row>
    <row r="891" spans="2:9" ht="23.2" customHeight="1">
      <c r="B891" s="14"/>
      <c r="I891" s="14"/>
    </row>
    <row r="892" spans="2:9" ht="23.2" customHeight="1">
      <c r="B892" s="14"/>
      <c r="I892" s="14"/>
    </row>
    <row r="893" spans="2:9" ht="23.2" customHeight="1">
      <c r="B893" s="14"/>
      <c r="I893" s="14"/>
    </row>
    <row r="894" spans="2:9" ht="23.2" customHeight="1">
      <c r="B894" s="14"/>
      <c r="I894" s="14"/>
    </row>
    <row r="895" spans="2:9" ht="23.2" customHeight="1">
      <c r="B895" s="14"/>
      <c r="I895" s="14"/>
    </row>
    <row r="896" spans="2:9" ht="23.2" customHeight="1">
      <c r="B896" s="14"/>
      <c r="I896" s="14"/>
    </row>
    <row r="897" spans="2:9" ht="23.2" customHeight="1">
      <c r="B897" s="14"/>
      <c r="I897" s="14"/>
    </row>
    <row r="898" spans="2:9" ht="23.2" customHeight="1">
      <c r="B898" s="14"/>
      <c r="I898" s="14"/>
    </row>
    <row r="899" spans="2:9" ht="23.2" customHeight="1">
      <c r="B899" s="14"/>
      <c r="I899" s="14"/>
    </row>
    <row r="900" spans="2:9" ht="23.2" customHeight="1">
      <c r="B900" s="14"/>
      <c r="I900" s="14"/>
    </row>
    <row r="901" spans="2:9" ht="23.2" customHeight="1">
      <c r="B901" s="14"/>
      <c r="I901" s="14"/>
    </row>
    <row r="902" spans="2:9" ht="23.2" customHeight="1">
      <c r="B902" s="14"/>
      <c r="I902" s="14"/>
    </row>
    <row r="903" spans="2:9" ht="23.2" customHeight="1">
      <c r="B903" s="14"/>
      <c r="I903" s="14"/>
    </row>
    <row r="904" spans="2:9" ht="23.2" customHeight="1">
      <c r="B904" s="14"/>
      <c r="I904" s="14"/>
    </row>
    <row r="905" spans="2:9" ht="23.2" customHeight="1">
      <c r="B905" s="14"/>
      <c r="I905" s="14"/>
    </row>
    <row r="906" spans="2:9" ht="23.2" customHeight="1">
      <c r="B906" s="14"/>
      <c r="I906" s="14"/>
    </row>
    <row r="907" spans="2:9" ht="23.2" customHeight="1">
      <c r="B907" s="14"/>
      <c r="I907" s="14"/>
    </row>
    <row r="908" spans="2:9" ht="23.2" customHeight="1">
      <c r="B908" s="14"/>
      <c r="I908" s="14"/>
    </row>
    <row r="909" spans="2:9" ht="23.2" customHeight="1">
      <c r="B909" s="14"/>
      <c r="I909" s="14"/>
    </row>
    <row r="910" spans="2:9" ht="23.2" customHeight="1">
      <c r="B910" s="14"/>
      <c r="I910" s="14"/>
    </row>
    <row r="911" spans="2:9" ht="23.2" customHeight="1">
      <c r="B911" s="14"/>
      <c r="I911" s="14"/>
    </row>
    <row r="912" spans="2:9" ht="23.2" customHeight="1">
      <c r="B912" s="14"/>
      <c r="I912" s="14"/>
    </row>
    <row r="913" spans="2:9" ht="23.2" customHeight="1">
      <c r="B913" s="14"/>
      <c r="I913" s="14"/>
    </row>
    <row r="914" spans="2:9" ht="23.2" customHeight="1">
      <c r="B914" s="14"/>
      <c r="I914" s="14"/>
    </row>
    <row r="915" spans="2:9" ht="23.2" customHeight="1">
      <c r="B915" s="14"/>
      <c r="I915" s="14"/>
    </row>
    <row r="916" spans="2:9" ht="23.2" customHeight="1">
      <c r="B916" s="14"/>
      <c r="I916" s="14"/>
    </row>
    <row r="917" spans="2:9" ht="23.2" customHeight="1">
      <c r="B917" s="14"/>
      <c r="I917" s="14"/>
    </row>
    <row r="918" spans="2:9" ht="23.2" customHeight="1">
      <c r="B918" s="14"/>
      <c r="I918" s="14"/>
    </row>
    <row r="919" spans="2:9" ht="23.2" customHeight="1">
      <c r="B919" s="14"/>
      <c r="I919" s="14"/>
    </row>
    <row r="920" spans="2:9" ht="23.2" customHeight="1">
      <c r="B920" s="14"/>
      <c r="I920" s="14"/>
    </row>
    <row r="921" spans="2:9" ht="23.2" customHeight="1">
      <c r="B921" s="14"/>
      <c r="I921" s="14"/>
    </row>
    <row r="922" spans="2:9" ht="23.2" customHeight="1">
      <c r="B922" s="14"/>
      <c r="I922" s="14"/>
    </row>
    <row r="923" spans="2:9" ht="23.2" customHeight="1">
      <c r="B923" s="14"/>
      <c r="I923" s="14"/>
    </row>
    <row r="924" spans="2:9" ht="23.2" customHeight="1">
      <c r="B924" s="14"/>
      <c r="I924" s="14"/>
    </row>
    <row r="925" spans="2:9" ht="23.2" customHeight="1">
      <c r="B925" s="14"/>
      <c r="I925" s="14"/>
    </row>
    <row r="926" spans="2:9" ht="23.2" customHeight="1">
      <c r="B926" s="14"/>
      <c r="I926" s="14"/>
    </row>
    <row r="927" spans="2:9" ht="23.2" customHeight="1">
      <c r="B927" s="14"/>
      <c r="I927" s="14"/>
    </row>
    <row r="928" spans="2:9" ht="23.2" customHeight="1">
      <c r="B928" s="14"/>
      <c r="I928" s="14"/>
    </row>
    <row r="929" spans="2:9" ht="23.2" customHeight="1">
      <c r="B929" s="14"/>
      <c r="I929" s="14"/>
    </row>
    <row r="930" spans="2:9" ht="23.2" customHeight="1">
      <c r="B930" s="14"/>
      <c r="I930" s="14"/>
    </row>
    <row r="931" spans="2:9" ht="23.2" customHeight="1">
      <c r="B931" s="14"/>
      <c r="I931" s="14"/>
    </row>
    <row r="932" spans="2:9" ht="23.2" customHeight="1">
      <c r="B932" s="14"/>
      <c r="I932" s="14"/>
    </row>
    <row r="933" spans="2:9" ht="23.2" customHeight="1">
      <c r="B933" s="14"/>
      <c r="I933" s="14"/>
    </row>
    <row r="934" spans="2:9" ht="23.2" customHeight="1">
      <c r="B934" s="14"/>
      <c r="I934" s="14"/>
    </row>
    <row r="935" spans="2:9" ht="23.2" customHeight="1">
      <c r="B935" s="14"/>
      <c r="I935" s="14"/>
    </row>
    <row r="936" spans="2:9" ht="23.2" customHeight="1">
      <c r="B936" s="14"/>
      <c r="I936" s="14"/>
    </row>
    <row r="937" spans="2:9" ht="23.2" customHeight="1">
      <c r="B937" s="14"/>
      <c r="I937" s="14"/>
    </row>
    <row r="938" spans="2:9" ht="23.2" customHeight="1">
      <c r="B938" s="14"/>
      <c r="I938" s="14"/>
    </row>
    <row r="939" spans="2:9" ht="23.2" customHeight="1">
      <c r="B939" s="14"/>
      <c r="I939" s="14"/>
    </row>
    <row r="940" spans="2:9" ht="23.2" customHeight="1">
      <c r="B940" s="14"/>
      <c r="I940" s="14"/>
    </row>
    <row r="941" spans="2:9" ht="23.2" customHeight="1">
      <c r="B941" s="14"/>
      <c r="I941" s="14"/>
    </row>
    <row r="942" spans="2:9" ht="23.2" customHeight="1">
      <c r="B942" s="14"/>
      <c r="I942" s="14"/>
    </row>
    <row r="943" spans="2:9" ht="23.2" customHeight="1">
      <c r="B943" s="14"/>
      <c r="I943" s="14"/>
    </row>
    <row r="944" spans="2:9" ht="23.2" customHeight="1">
      <c r="B944" s="14"/>
      <c r="I944" s="14"/>
    </row>
    <row r="945" spans="2:9" ht="23.2" customHeight="1">
      <c r="B945" s="14"/>
      <c r="I945" s="14"/>
    </row>
    <row r="946" spans="2:9" ht="23.2" customHeight="1">
      <c r="B946" s="14"/>
      <c r="I946" s="14"/>
    </row>
    <row r="947" spans="2:9" ht="23.2" customHeight="1">
      <c r="B947" s="14"/>
      <c r="I947" s="14"/>
    </row>
    <row r="948" spans="2:9" ht="23.2" customHeight="1">
      <c r="B948" s="14"/>
      <c r="I948" s="14"/>
    </row>
    <row r="949" spans="2:9" ht="23.2" customHeight="1">
      <c r="B949" s="14"/>
      <c r="I949" s="14"/>
    </row>
    <row r="950" spans="2:9" ht="23.2" customHeight="1">
      <c r="B950" s="14"/>
      <c r="I950" s="14"/>
    </row>
    <row r="951" spans="2:9" ht="23.2" customHeight="1">
      <c r="B951" s="14"/>
      <c r="I951" s="14"/>
    </row>
    <row r="952" spans="2:9" ht="23.2" customHeight="1">
      <c r="B952" s="14"/>
      <c r="I952" s="14"/>
    </row>
    <row r="953" spans="2:9" ht="23.2" customHeight="1">
      <c r="B953" s="14"/>
      <c r="I953" s="14"/>
    </row>
    <row r="954" spans="2:9" ht="23.2" customHeight="1">
      <c r="B954" s="14"/>
      <c r="I954" s="14"/>
    </row>
    <row r="955" spans="2:9" ht="23.2" customHeight="1">
      <c r="B955" s="14"/>
      <c r="I955" s="14"/>
    </row>
    <row r="956" spans="2:9" ht="23.2" customHeight="1">
      <c r="B956" s="14"/>
      <c r="I956" s="14"/>
    </row>
    <row r="957" spans="2:9" ht="23.2" customHeight="1">
      <c r="B957" s="14"/>
      <c r="I957" s="14"/>
    </row>
    <row r="958" spans="2:9" ht="23.2" customHeight="1">
      <c r="B958" s="14"/>
      <c r="I958" s="14"/>
    </row>
    <row r="959" spans="2:9" ht="23.2" customHeight="1">
      <c r="B959" s="14"/>
      <c r="I95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6640625" defaultRowHeight="15.7" customHeight="1"/>
  <cols>
    <col min="2" max="2" width="20.4140625" customWidth="1"/>
    <col min="5" max="5" width="54" customWidth="1"/>
  </cols>
  <sheetData>
    <row r="1" spans="1:24" ht="28.55" customHeight="1">
      <c r="A1" s="15" t="s">
        <v>50</v>
      </c>
      <c r="B1" s="15" t="s">
        <v>10</v>
      </c>
      <c r="C1" s="16" t="s">
        <v>51</v>
      </c>
      <c r="D1" s="17" t="s">
        <v>52</v>
      </c>
      <c r="E1" s="15" t="s">
        <v>53</v>
      </c>
      <c r="F1" s="2" t="s">
        <v>54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28.55" customHeight="1">
      <c r="A2" s="18">
        <v>115500</v>
      </c>
      <c r="B2" s="18" t="s">
        <v>55</v>
      </c>
      <c r="C2" s="19">
        <v>9500</v>
      </c>
      <c r="D2" s="20">
        <v>46091</v>
      </c>
      <c r="E2" s="18" t="s">
        <v>56</v>
      </c>
      <c r="F2" s="3" t="s">
        <v>57</v>
      </c>
    </row>
    <row r="3" spans="1:24" ht="28.55" customHeight="1">
      <c r="A3" s="18">
        <v>115503</v>
      </c>
      <c r="B3" s="18" t="s">
        <v>58</v>
      </c>
      <c r="C3" s="19">
        <v>19000</v>
      </c>
      <c r="D3" s="20">
        <v>46143</v>
      </c>
      <c r="E3" s="18" t="s">
        <v>59</v>
      </c>
      <c r="F3" s="3" t="s">
        <v>57</v>
      </c>
    </row>
    <row r="4" spans="1:24" ht="28.55" customHeight="1">
      <c r="A4" s="18">
        <v>111056</v>
      </c>
      <c r="B4" s="18" t="s">
        <v>60</v>
      </c>
      <c r="C4" s="19">
        <v>4000</v>
      </c>
      <c r="D4" s="20">
        <v>46091</v>
      </c>
      <c r="E4" s="18"/>
      <c r="F4" s="3" t="s">
        <v>57</v>
      </c>
    </row>
    <row r="5" spans="1:24" ht="28.55" customHeight="1">
      <c r="A5" s="18">
        <v>410100</v>
      </c>
      <c r="B5" s="18" t="s">
        <v>61</v>
      </c>
      <c r="C5" s="19">
        <v>19000</v>
      </c>
      <c r="D5" s="20">
        <v>46096</v>
      </c>
      <c r="E5" s="18" t="s">
        <v>62</v>
      </c>
      <c r="F5" s="3" t="s">
        <v>57</v>
      </c>
    </row>
    <row r="6" spans="1:24" ht="28.55" customHeight="1">
      <c r="A6" s="18">
        <v>110076</v>
      </c>
      <c r="B6" s="18" t="s">
        <v>63</v>
      </c>
      <c r="C6" s="19">
        <v>50000</v>
      </c>
      <c r="D6" s="20">
        <v>46096</v>
      </c>
      <c r="E6" s="18" t="s">
        <v>64</v>
      </c>
      <c r="F6" s="3" t="s">
        <v>65</v>
      </c>
    </row>
    <row r="7" spans="1:24" ht="28.55" customHeight="1">
      <c r="A7" s="18">
        <v>110130</v>
      </c>
      <c r="B7" s="18" t="s">
        <v>66</v>
      </c>
      <c r="C7" s="19">
        <v>7800</v>
      </c>
      <c r="D7" s="20">
        <v>46096</v>
      </c>
      <c r="E7" s="18" t="s">
        <v>67</v>
      </c>
      <c r="F7" s="3" t="s">
        <v>68</v>
      </c>
    </row>
    <row r="8" spans="1:24" ht="28.55" customHeight="1">
      <c r="A8" s="18">
        <v>470187</v>
      </c>
      <c r="B8" s="18" t="s">
        <v>69</v>
      </c>
      <c r="C8" s="19">
        <v>13300</v>
      </c>
      <c r="D8" s="20">
        <v>46096</v>
      </c>
      <c r="E8" s="18" t="s">
        <v>70</v>
      </c>
      <c r="F8" s="3" t="s">
        <v>57</v>
      </c>
    </row>
    <row r="9" spans="1:24" ht="28.55" customHeight="1">
      <c r="A9" s="21"/>
      <c r="B9" s="18" t="s">
        <v>71</v>
      </c>
      <c r="C9" s="19">
        <v>2430</v>
      </c>
      <c r="D9" s="20">
        <v>46096</v>
      </c>
      <c r="E9" s="21"/>
      <c r="F9" s="3" t="s">
        <v>72</v>
      </c>
    </row>
    <row r="10" spans="1:24" ht="28.55" customHeight="1">
      <c r="A10" s="21"/>
      <c r="B10" s="18" t="s">
        <v>73</v>
      </c>
      <c r="C10" s="19">
        <v>10000</v>
      </c>
      <c r="D10" s="20">
        <v>46096</v>
      </c>
      <c r="E10" s="21"/>
      <c r="F10" s="3" t="s">
        <v>73</v>
      </c>
    </row>
    <row r="11" spans="1:24" ht="28.55" customHeight="1">
      <c r="A11" s="18">
        <v>115507</v>
      </c>
      <c r="B11" s="18" t="s">
        <v>74</v>
      </c>
      <c r="C11" s="19">
        <v>8400</v>
      </c>
      <c r="D11" s="20">
        <v>46099</v>
      </c>
      <c r="E11" s="18" t="s">
        <v>75</v>
      </c>
      <c r="F11" s="3" t="s">
        <v>57</v>
      </c>
    </row>
    <row r="12" spans="1:24" ht="28.55" customHeight="1">
      <c r="A12" s="18">
        <v>111053</v>
      </c>
      <c r="B12" s="18" t="s">
        <v>76</v>
      </c>
      <c r="C12" s="19">
        <v>36900</v>
      </c>
      <c r="D12" s="20">
        <v>46143</v>
      </c>
      <c r="E12" s="18" t="s">
        <v>77</v>
      </c>
      <c r="F12" s="3" t="s">
        <v>78</v>
      </c>
    </row>
    <row r="13" spans="1:24" ht="28.55" customHeight="1">
      <c r="A13" s="18">
        <v>115513</v>
      </c>
      <c r="B13" s="18" t="s">
        <v>79</v>
      </c>
      <c r="C13" s="19">
        <v>9500</v>
      </c>
      <c r="D13" s="20">
        <v>46104</v>
      </c>
      <c r="E13" s="18" t="s">
        <v>80</v>
      </c>
      <c r="F13" s="3" t="s">
        <v>57</v>
      </c>
    </row>
    <row r="14" spans="1:24" ht="28.55" customHeight="1">
      <c r="A14" s="18">
        <v>115141</v>
      </c>
      <c r="B14" s="18" t="s">
        <v>81</v>
      </c>
      <c r="C14" s="19">
        <v>8000</v>
      </c>
      <c r="D14" s="20">
        <v>46105</v>
      </c>
      <c r="E14" s="18" t="s">
        <v>82</v>
      </c>
      <c r="F14" s="3" t="s">
        <v>57</v>
      </c>
    </row>
    <row r="15" spans="1:24" ht="28.55" customHeight="1">
      <c r="A15" s="18">
        <v>111123</v>
      </c>
      <c r="B15" s="18" t="s">
        <v>83</v>
      </c>
      <c r="C15" s="19">
        <v>50000</v>
      </c>
      <c r="D15" s="20">
        <v>46096</v>
      </c>
      <c r="E15" s="18" t="s">
        <v>84</v>
      </c>
      <c r="F15" s="3" t="s">
        <v>78</v>
      </c>
    </row>
    <row r="16" spans="1:24" ht="28.55" customHeight="1">
      <c r="A16" s="21"/>
      <c r="B16" s="18" t="s">
        <v>57</v>
      </c>
      <c r="C16" s="19">
        <v>26000</v>
      </c>
      <c r="D16" s="20">
        <v>46091</v>
      </c>
      <c r="E16" s="21"/>
      <c r="F16" s="3" t="s">
        <v>57</v>
      </c>
    </row>
    <row r="17" spans="1:6" ht="28.55" customHeight="1">
      <c r="A17" s="18">
        <v>115510</v>
      </c>
      <c r="B17" s="18" t="s">
        <v>85</v>
      </c>
      <c r="C17" s="19">
        <v>26000</v>
      </c>
      <c r="D17" s="20">
        <v>46113</v>
      </c>
      <c r="E17" s="18" t="s">
        <v>86</v>
      </c>
      <c r="F17" s="3" t="s">
        <v>57</v>
      </c>
    </row>
    <row r="18" spans="1:6" ht="28.55" customHeight="1">
      <c r="A18" s="18">
        <v>640672</v>
      </c>
      <c r="B18" s="18" t="s">
        <v>87</v>
      </c>
      <c r="C18" s="19">
        <v>20000</v>
      </c>
      <c r="D18" s="20">
        <v>46113</v>
      </c>
      <c r="E18" s="18" t="s">
        <v>88</v>
      </c>
      <c r="F18" s="3" t="s">
        <v>57</v>
      </c>
    </row>
    <row r="19" spans="1:6" ht="28.55" customHeight="1">
      <c r="A19" s="21"/>
      <c r="B19" s="18" t="s">
        <v>89</v>
      </c>
      <c r="C19" s="19">
        <v>15000</v>
      </c>
      <c r="D19" s="20">
        <v>46113</v>
      </c>
      <c r="E19" s="18"/>
      <c r="F19" s="3" t="s">
        <v>90</v>
      </c>
    </row>
    <row r="20" spans="1:6" ht="28.55" customHeight="1">
      <c r="A20" s="21"/>
      <c r="B20" s="18" t="s">
        <v>91</v>
      </c>
      <c r="C20" s="19">
        <v>20000</v>
      </c>
      <c r="D20" s="20">
        <v>46113</v>
      </c>
      <c r="E20" s="21"/>
      <c r="F20" s="3" t="s">
        <v>65</v>
      </c>
    </row>
    <row r="21" spans="1:6" ht="28.55" customHeight="1">
      <c r="A21" s="21"/>
      <c r="B21" s="18" t="s">
        <v>92</v>
      </c>
      <c r="C21" s="19">
        <v>55000</v>
      </c>
      <c r="D21" s="20">
        <v>46204</v>
      </c>
      <c r="E21" s="21"/>
      <c r="F21" s="3" t="s">
        <v>92</v>
      </c>
    </row>
    <row r="22" spans="1:6" ht="28.55" customHeight="1">
      <c r="A22" s="21"/>
      <c r="B22" s="18" t="s">
        <v>93</v>
      </c>
      <c r="C22" s="19">
        <v>70000</v>
      </c>
      <c r="D22" s="20">
        <v>46157</v>
      </c>
      <c r="E22" s="21"/>
      <c r="F22" s="3" t="s">
        <v>78</v>
      </c>
    </row>
    <row r="23" spans="1:6" ht="28.55" customHeight="1">
      <c r="A23" s="21"/>
      <c r="B23" s="18" t="s">
        <v>94</v>
      </c>
      <c r="C23" s="19">
        <v>50000</v>
      </c>
      <c r="D23" s="20">
        <v>46113</v>
      </c>
      <c r="E23" s="21"/>
      <c r="F23" s="3" t="s">
        <v>65</v>
      </c>
    </row>
    <row r="24" spans="1:6" ht="28.55" customHeight="1">
      <c r="A24" s="21"/>
      <c r="B24" s="18" t="s">
        <v>95</v>
      </c>
      <c r="C24" s="19">
        <v>35000</v>
      </c>
      <c r="D24" s="20">
        <v>46113</v>
      </c>
      <c r="E24" s="21"/>
      <c r="F24" s="3" t="s">
        <v>78</v>
      </c>
    </row>
    <row r="25" spans="1:6" ht="28.55" customHeight="1">
      <c r="A25" s="21"/>
      <c r="B25" s="18" t="s">
        <v>96</v>
      </c>
      <c r="C25" s="19">
        <v>50000</v>
      </c>
      <c r="D25" s="20">
        <v>46122</v>
      </c>
      <c r="E25" s="21"/>
      <c r="F25" s="3" t="s">
        <v>65</v>
      </c>
    </row>
    <row r="26" spans="1:6" ht="28.55" customHeight="1">
      <c r="A26" s="18">
        <v>115100</v>
      </c>
      <c r="B26" s="18" t="s">
        <v>97</v>
      </c>
      <c r="C26" s="19">
        <v>17000</v>
      </c>
      <c r="D26" s="20">
        <v>46127</v>
      </c>
      <c r="E26" s="18" t="s">
        <v>98</v>
      </c>
      <c r="F26" s="3" t="s">
        <v>57</v>
      </c>
    </row>
    <row r="27" spans="1:6" ht="28.55" customHeight="1">
      <c r="A27" s="21"/>
      <c r="B27" s="18" t="s">
        <v>57</v>
      </c>
      <c r="C27" s="19">
        <v>20000</v>
      </c>
      <c r="D27" s="20">
        <v>46157</v>
      </c>
      <c r="E27" s="21"/>
      <c r="F27" s="3" t="s">
        <v>57</v>
      </c>
    </row>
    <row r="28" spans="1:6" ht="28.55" customHeight="1">
      <c r="A28" s="21"/>
      <c r="B28" s="18" t="s">
        <v>57</v>
      </c>
      <c r="C28" s="19">
        <v>13500</v>
      </c>
      <c r="D28" s="20">
        <v>46188</v>
      </c>
      <c r="E28" s="21"/>
      <c r="F28" s="3" t="s">
        <v>57</v>
      </c>
    </row>
    <row r="29" spans="1:6" ht="28.55" customHeight="1">
      <c r="A29" s="21"/>
      <c r="B29" s="18" t="s">
        <v>99</v>
      </c>
      <c r="C29" s="19">
        <v>50000</v>
      </c>
      <c r="D29" s="20">
        <v>46157</v>
      </c>
      <c r="E29" s="21"/>
      <c r="F29" s="3" t="s">
        <v>78</v>
      </c>
    </row>
    <row r="30" spans="1:6" ht="28.55" customHeight="1">
      <c r="A30" s="21"/>
      <c r="B30" s="18" t="s">
        <v>57</v>
      </c>
      <c r="C30" s="19">
        <v>147000</v>
      </c>
      <c r="D30" s="20">
        <v>46127</v>
      </c>
      <c r="E30" s="21"/>
      <c r="F30" s="3" t="s">
        <v>57</v>
      </c>
    </row>
    <row r="31" spans="1:6" ht="28.55" customHeight="1">
      <c r="A31" s="21"/>
      <c r="B31" s="18" t="s">
        <v>95</v>
      </c>
      <c r="C31" s="19">
        <v>35000</v>
      </c>
      <c r="D31" s="20">
        <v>46174</v>
      </c>
      <c r="E31" s="21"/>
      <c r="F31" s="3" t="s">
        <v>78</v>
      </c>
    </row>
    <row r="32" spans="1:6" ht="28.55" customHeight="1">
      <c r="A32" s="21"/>
      <c r="B32" s="18" t="s">
        <v>100</v>
      </c>
      <c r="C32" s="19">
        <v>9500</v>
      </c>
      <c r="D32" s="20">
        <v>46127</v>
      </c>
      <c r="E32" s="21"/>
      <c r="F32" s="3" t="s">
        <v>101</v>
      </c>
    </row>
    <row r="33" spans="1:6" ht="28.55" customHeight="1">
      <c r="A33" s="21"/>
      <c r="B33" s="18" t="s">
        <v>71</v>
      </c>
      <c r="C33" s="19">
        <v>1750</v>
      </c>
      <c r="D33" s="20">
        <v>46157</v>
      </c>
      <c r="E33" s="21"/>
      <c r="F33" s="3" t="s">
        <v>72</v>
      </c>
    </row>
    <row r="34" spans="1:6" ht="28.55" customHeight="1">
      <c r="A34" s="21"/>
      <c r="B34" s="18" t="s">
        <v>71</v>
      </c>
      <c r="C34" s="19">
        <v>1000</v>
      </c>
      <c r="D34" s="20">
        <v>46188</v>
      </c>
      <c r="E34" s="21"/>
      <c r="F34" s="3" t="s">
        <v>72</v>
      </c>
    </row>
    <row r="35" spans="1:6" ht="28.55" customHeight="1">
      <c r="A35" s="21"/>
      <c r="B35" s="18" t="s">
        <v>60</v>
      </c>
      <c r="C35" s="19">
        <v>4000</v>
      </c>
      <c r="D35" s="20">
        <v>46127</v>
      </c>
      <c r="E35" s="18"/>
      <c r="F35" s="3" t="s">
        <v>57</v>
      </c>
    </row>
    <row r="36" spans="1:6" ht="28.55" customHeight="1">
      <c r="A36" s="21"/>
      <c r="B36" s="18" t="s">
        <v>102</v>
      </c>
      <c r="C36" s="19">
        <v>7000</v>
      </c>
      <c r="D36" s="20">
        <v>46188</v>
      </c>
      <c r="E36" s="21"/>
      <c r="F36" s="3" t="s">
        <v>72</v>
      </c>
    </row>
    <row r="37" spans="1:6" ht="28.55" customHeight="1">
      <c r="A37" s="21"/>
      <c r="B37" s="18" t="s">
        <v>103</v>
      </c>
      <c r="C37" s="19">
        <v>28500</v>
      </c>
      <c r="D37" s="20">
        <v>46128</v>
      </c>
      <c r="E37" s="21"/>
      <c r="F37" s="3" t="s">
        <v>78</v>
      </c>
    </row>
    <row r="38" spans="1:6" ht="28.55" customHeight="1">
      <c r="A38" s="21"/>
      <c r="B38" s="18" t="s">
        <v>104</v>
      </c>
      <c r="C38" s="19">
        <v>50000</v>
      </c>
      <c r="D38" s="20">
        <v>46132</v>
      </c>
      <c r="E38" s="21"/>
      <c r="F38" s="3" t="s">
        <v>65</v>
      </c>
    </row>
    <row r="39" spans="1:6" ht="28.55" customHeight="1">
      <c r="A39" s="21"/>
      <c r="B39" s="18" t="s">
        <v>60</v>
      </c>
      <c r="C39" s="19">
        <v>4000</v>
      </c>
      <c r="D39" s="20">
        <v>46157</v>
      </c>
      <c r="E39" s="18"/>
      <c r="F39" s="3" t="s">
        <v>57</v>
      </c>
    </row>
    <row r="40" spans="1:6" ht="28.55" customHeight="1">
      <c r="A40" s="21"/>
      <c r="B40" s="18" t="s">
        <v>105</v>
      </c>
      <c r="C40" s="19">
        <v>85000</v>
      </c>
      <c r="D40" s="20">
        <v>46157</v>
      </c>
      <c r="E40" s="18"/>
      <c r="F40" s="3" t="s">
        <v>57</v>
      </c>
    </row>
    <row r="41" spans="1:6" ht="28.55" customHeight="1">
      <c r="A41" s="21"/>
      <c r="B41" s="18" t="s">
        <v>57</v>
      </c>
      <c r="C41" s="19">
        <v>46700</v>
      </c>
      <c r="D41" s="20">
        <v>46132</v>
      </c>
      <c r="E41" s="21"/>
      <c r="F41" s="3" t="s">
        <v>57</v>
      </c>
    </row>
    <row r="42" spans="1:6" ht="28.55" customHeight="1">
      <c r="A42" s="21"/>
      <c r="B42" s="18" t="s">
        <v>103</v>
      </c>
      <c r="C42" s="19">
        <v>28500</v>
      </c>
      <c r="D42" s="20">
        <v>46174</v>
      </c>
      <c r="E42" s="21"/>
      <c r="F42" s="3" t="s">
        <v>78</v>
      </c>
    </row>
    <row r="43" spans="1:6" ht="28.55" customHeight="1">
      <c r="A43" s="22"/>
      <c r="B43" s="22"/>
      <c r="C43" s="23"/>
      <c r="D43" s="24"/>
      <c r="E43" s="22"/>
      <c r="F43" s="25"/>
    </row>
    <row r="44" spans="1:6" ht="28.55" customHeight="1">
      <c r="A44" s="22"/>
      <c r="B44" s="22"/>
      <c r="C44" s="23"/>
      <c r="D44" s="24"/>
      <c r="E44" s="22"/>
      <c r="F44" s="25"/>
    </row>
    <row r="45" spans="1:6" ht="28.55" customHeight="1">
      <c r="A45" s="22"/>
      <c r="B45" s="22"/>
      <c r="C45" s="23"/>
      <c r="D45" s="24"/>
      <c r="E45" s="22"/>
      <c r="F45" s="25"/>
    </row>
    <row r="46" spans="1:6" ht="28.55" customHeight="1">
      <c r="A46" s="22"/>
      <c r="B46" s="22"/>
      <c r="C46" s="23"/>
      <c r="D46" s="24"/>
      <c r="E46" s="22"/>
      <c r="F46" s="25"/>
    </row>
    <row r="47" spans="1:6" ht="28.55" customHeight="1">
      <c r="A47" s="22"/>
      <c r="B47" s="22"/>
      <c r="C47" s="23"/>
      <c r="D47" s="24"/>
      <c r="E47" s="22"/>
      <c r="F47" s="25"/>
    </row>
    <row r="48" spans="1:6" ht="28.55" customHeight="1">
      <c r="A48" s="22"/>
      <c r="B48" s="22"/>
      <c r="C48" s="23"/>
      <c r="D48" s="24"/>
      <c r="E48" s="22"/>
      <c r="F48" s="25"/>
    </row>
    <row r="49" spans="1:6" ht="28.55" customHeight="1">
      <c r="A49" s="22"/>
      <c r="B49" s="22"/>
      <c r="C49" s="23"/>
      <c r="D49" s="24"/>
      <c r="E49" s="22"/>
      <c r="F49" s="25"/>
    </row>
    <row r="50" spans="1:6" ht="28.55" customHeight="1">
      <c r="A50" s="22"/>
      <c r="B50" s="22"/>
      <c r="C50" s="23"/>
      <c r="D50" s="24"/>
      <c r="E50" s="22"/>
      <c r="F50" s="25"/>
    </row>
    <row r="51" spans="1:6" ht="28.55" customHeight="1">
      <c r="A51" s="22"/>
      <c r="B51" s="22"/>
      <c r="C51" s="23"/>
      <c r="D51" s="24"/>
      <c r="E51" s="22"/>
      <c r="F51" s="25"/>
    </row>
    <row r="52" spans="1:6" ht="28.55" customHeight="1">
      <c r="A52" s="22"/>
      <c r="B52" s="22"/>
      <c r="C52" s="23"/>
      <c r="D52" s="24"/>
      <c r="E52" s="22"/>
      <c r="F52" s="25"/>
    </row>
    <row r="53" spans="1:6" ht="28.55" customHeight="1">
      <c r="A53" s="22"/>
      <c r="B53" s="22"/>
      <c r="C53" s="23"/>
      <c r="D53" s="24"/>
      <c r="E53" s="22"/>
      <c r="F53" s="25"/>
    </row>
    <row r="54" spans="1:6" ht="28.55" customHeight="1">
      <c r="A54" s="22"/>
      <c r="B54" s="22"/>
      <c r="C54" s="23"/>
      <c r="D54" s="24"/>
      <c r="E54" s="22"/>
      <c r="F54" s="25"/>
    </row>
    <row r="55" spans="1:6" ht="28.55" customHeight="1">
      <c r="A55" s="22"/>
      <c r="B55" s="22"/>
      <c r="C55" s="23"/>
      <c r="D55" s="24"/>
      <c r="E55" s="22"/>
      <c r="F55" s="25"/>
    </row>
    <row r="56" spans="1:6" ht="28.55" customHeight="1">
      <c r="A56" s="22"/>
      <c r="B56" s="22"/>
      <c r="C56" s="23"/>
      <c r="D56" s="24"/>
      <c r="E56" s="22"/>
      <c r="F56" s="25"/>
    </row>
    <row r="57" spans="1:6" ht="28.55" customHeight="1">
      <c r="A57" s="22"/>
      <c r="B57" s="22"/>
      <c r="C57" s="23"/>
      <c r="D57" s="24"/>
      <c r="E57" s="22"/>
      <c r="F57" s="25"/>
    </row>
    <row r="58" spans="1:6" ht="28.55" customHeight="1">
      <c r="A58" s="22"/>
      <c r="B58" s="22"/>
      <c r="C58" s="23"/>
      <c r="D58" s="24"/>
      <c r="E58" s="22"/>
      <c r="F58" s="25"/>
    </row>
    <row r="59" spans="1:6" ht="28.55" customHeight="1">
      <c r="A59" s="22"/>
      <c r="B59" s="22"/>
      <c r="C59" s="23"/>
      <c r="D59" s="24"/>
      <c r="E59" s="22"/>
      <c r="F59" s="25"/>
    </row>
    <row r="60" spans="1:6" ht="28.55" customHeight="1">
      <c r="A60" s="22"/>
      <c r="B60" s="22"/>
      <c r="C60" s="23"/>
      <c r="D60" s="24"/>
      <c r="E60" s="22"/>
      <c r="F60" s="25"/>
    </row>
    <row r="61" spans="1:6" ht="28.55" customHeight="1">
      <c r="A61" s="22"/>
      <c r="B61" s="22"/>
      <c r="C61" s="23"/>
      <c r="D61" s="24"/>
      <c r="E61" s="22"/>
      <c r="F61" s="25"/>
    </row>
    <row r="62" spans="1:6" ht="28.55" customHeight="1">
      <c r="A62" s="22"/>
      <c r="B62" s="22"/>
      <c r="C62" s="23"/>
      <c r="D62" s="24"/>
      <c r="E62" s="22"/>
      <c r="F62" s="25"/>
    </row>
    <row r="63" spans="1:6" ht="28.55" customHeight="1">
      <c r="A63" s="22"/>
      <c r="B63" s="22"/>
      <c r="C63" s="23"/>
      <c r="D63" s="24"/>
      <c r="E63" s="22"/>
      <c r="F63" s="25"/>
    </row>
    <row r="64" spans="1:6" ht="28.55" customHeight="1">
      <c r="A64" s="22"/>
      <c r="B64" s="22"/>
      <c r="C64" s="23"/>
      <c r="D64" s="24"/>
      <c r="E64" s="22"/>
      <c r="F64" s="25"/>
    </row>
    <row r="65" spans="1:6" ht="28.55" customHeight="1">
      <c r="A65" s="22"/>
      <c r="B65" s="22"/>
      <c r="C65" s="23"/>
      <c r="D65" s="24"/>
      <c r="E65" s="22"/>
      <c r="F65" s="25"/>
    </row>
    <row r="66" spans="1:6" ht="28.55" customHeight="1">
      <c r="A66" s="22"/>
      <c r="B66" s="22"/>
      <c r="C66" s="23"/>
      <c r="D66" s="24"/>
      <c r="E66" s="22"/>
      <c r="F66" s="25"/>
    </row>
    <row r="67" spans="1:6" ht="28.55" customHeight="1">
      <c r="A67" s="22"/>
      <c r="B67" s="22"/>
      <c r="C67" s="23"/>
      <c r="D67" s="24"/>
      <c r="E67" s="22"/>
      <c r="F67" s="25"/>
    </row>
    <row r="68" spans="1:6" ht="28.55" customHeight="1">
      <c r="A68" s="22"/>
      <c r="B68" s="22"/>
      <c r="C68" s="23"/>
      <c r="D68" s="24"/>
      <c r="E68" s="22"/>
      <c r="F68" s="25"/>
    </row>
    <row r="69" spans="1:6" ht="28.55" customHeight="1">
      <c r="A69" s="22"/>
      <c r="B69" s="22"/>
      <c r="C69" s="23"/>
      <c r="D69" s="24"/>
      <c r="E69" s="22"/>
      <c r="F69" s="25"/>
    </row>
    <row r="70" spans="1:6" ht="28.55" customHeight="1">
      <c r="A70" s="22"/>
      <c r="B70" s="22"/>
      <c r="C70" s="23"/>
      <c r="D70" s="24"/>
      <c r="E70" s="22"/>
      <c r="F70" s="25"/>
    </row>
    <row r="71" spans="1:6" ht="28.55" customHeight="1">
      <c r="A71" s="22"/>
      <c r="B71" s="22"/>
      <c r="C71" s="23"/>
      <c r="D71" s="24"/>
      <c r="E71" s="22"/>
      <c r="F71" s="25"/>
    </row>
    <row r="72" spans="1:6" ht="28.55" customHeight="1">
      <c r="A72" s="22"/>
      <c r="B72" s="22"/>
      <c r="C72" s="23"/>
      <c r="D72" s="24"/>
      <c r="E72" s="22"/>
      <c r="F72" s="25"/>
    </row>
    <row r="73" spans="1:6" ht="28.55" customHeight="1">
      <c r="A73" s="22"/>
      <c r="B73" s="22"/>
      <c r="C73" s="23"/>
      <c r="D73" s="24"/>
      <c r="E73" s="22"/>
      <c r="F73" s="25"/>
    </row>
    <row r="74" spans="1:6" ht="28.55" customHeight="1">
      <c r="A74" s="22"/>
      <c r="B74" s="22"/>
      <c r="C74" s="23"/>
      <c r="D74" s="24"/>
      <c r="E74" s="22"/>
      <c r="F74" s="25"/>
    </row>
    <row r="75" spans="1:6" ht="28.55" customHeight="1">
      <c r="A75" s="22"/>
      <c r="B75" s="22"/>
      <c r="C75" s="23"/>
      <c r="D75" s="24"/>
      <c r="E75" s="22"/>
      <c r="F75" s="25"/>
    </row>
    <row r="76" spans="1:6" ht="28.55" customHeight="1">
      <c r="A76" s="22"/>
      <c r="B76" s="22"/>
      <c r="C76" s="23"/>
      <c r="D76" s="24"/>
      <c r="E76" s="22"/>
      <c r="F76" s="25"/>
    </row>
    <row r="77" spans="1:6" ht="28.55" customHeight="1">
      <c r="A77" s="22"/>
      <c r="B77" s="22"/>
      <c r="C77" s="23"/>
      <c r="D77" s="24"/>
      <c r="E77" s="22"/>
      <c r="F77" s="25"/>
    </row>
    <row r="78" spans="1:6" ht="28.55" customHeight="1">
      <c r="A78" s="22"/>
      <c r="B78" s="22"/>
      <c r="C78" s="23"/>
      <c r="D78" s="24"/>
      <c r="E78" s="22"/>
      <c r="F78" s="25"/>
    </row>
    <row r="79" spans="1:6" ht="28.55" customHeight="1">
      <c r="A79" s="22"/>
      <c r="B79" s="22"/>
      <c r="C79" s="23"/>
      <c r="D79" s="24"/>
      <c r="E79" s="22"/>
      <c r="F79" s="25"/>
    </row>
    <row r="80" spans="1:6" ht="28.55" customHeight="1">
      <c r="A80" s="22"/>
      <c r="B80" s="22"/>
      <c r="C80" s="23"/>
      <c r="D80" s="24"/>
      <c r="E80" s="22"/>
      <c r="F80" s="25"/>
    </row>
    <row r="81" spans="1:6" ht="28.55" customHeight="1">
      <c r="A81" s="22"/>
      <c r="B81" s="22"/>
      <c r="C81" s="23"/>
      <c r="D81" s="24"/>
      <c r="E81" s="22"/>
      <c r="F81" s="25"/>
    </row>
    <row r="82" spans="1:6" ht="28.55" customHeight="1">
      <c r="A82" s="22"/>
      <c r="B82" s="22"/>
      <c r="C82" s="23"/>
      <c r="D82" s="24"/>
      <c r="E82" s="22"/>
      <c r="F82" s="25"/>
    </row>
    <row r="83" spans="1:6" ht="28.55" customHeight="1">
      <c r="A83" s="22"/>
      <c r="B83" s="22"/>
      <c r="C83" s="23"/>
      <c r="D83" s="24"/>
      <c r="E83" s="22"/>
      <c r="F83" s="25"/>
    </row>
    <row r="84" spans="1:6" ht="28.55" customHeight="1">
      <c r="A84" s="22"/>
      <c r="B84" s="22"/>
      <c r="C84" s="23"/>
      <c r="D84" s="24"/>
      <c r="E84" s="22"/>
      <c r="F84" s="25"/>
    </row>
    <row r="85" spans="1:6" ht="28.55" customHeight="1">
      <c r="A85" s="22"/>
      <c r="B85" s="22"/>
      <c r="C85" s="23"/>
      <c r="D85" s="24"/>
      <c r="E85" s="22"/>
      <c r="F85" s="25"/>
    </row>
    <row r="86" spans="1:6" ht="28.55" customHeight="1">
      <c r="A86" s="22"/>
      <c r="B86" s="22"/>
      <c r="C86" s="23"/>
      <c r="D86" s="24"/>
      <c r="E86" s="22"/>
      <c r="F86" s="25"/>
    </row>
    <row r="87" spans="1:6" ht="28.55" customHeight="1">
      <c r="A87" s="22"/>
      <c r="B87" s="22"/>
      <c r="C87" s="23"/>
      <c r="D87" s="24"/>
      <c r="E87" s="22"/>
      <c r="F87" s="25"/>
    </row>
    <row r="88" spans="1:6" ht="28.55" customHeight="1">
      <c r="A88" s="22"/>
      <c r="B88" s="22"/>
      <c r="C88" s="23"/>
      <c r="D88" s="24"/>
      <c r="E88" s="22"/>
      <c r="F88" s="25"/>
    </row>
    <row r="89" spans="1:6" ht="28.55" customHeight="1">
      <c r="A89" s="22"/>
      <c r="B89" s="22"/>
      <c r="C89" s="23"/>
      <c r="D89" s="24"/>
      <c r="E89" s="22"/>
      <c r="F89" s="25"/>
    </row>
    <row r="90" spans="1:6" ht="28.55" customHeight="1">
      <c r="A90" s="22"/>
      <c r="B90" s="22"/>
      <c r="C90" s="23"/>
      <c r="D90" s="24"/>
      <c r="E90" s="22"/>
      <c r="F90" s="25"/>
    </row>
    <row r="91" spans="1:6" ht="28.55" customHeight="1">
      <c r="A91" s="22"/>
      <c r="B91" s="22"/>
      <c r="C91" s="23"/>
      <c r="D91" s="24"/>
      <c r="E91" s="22"/>
      <c r="F91" s="25"/>
    </row>
    <row r="92" spans="1:6" ht="28.55" customHeight="1">
      <c r="A92" s="22"/>
      <c r="B92" s="22"/>
      <c r="C92" s="23"/>
      <c r="D92" s="24"/>
      <c r="E92" s="22"/>
      <c r="F92" s="25"/>
    </row>
    <row r="93" spans="1:6" ht="28.55" customHeight="1">
      <c r="A93" s="22"/>
      <c r="B93" s="22"/>
      <c r="C93" s="23"/>
      <c r="D93" s="24"/>
      <c r="E93" s="22"/>
      <c r="F93" s="25"/>
    </row>
    <row r="94" spans="1:6" ht="28.55" customHeight="1">
      <c r="C94" s="26"/>
      <c r="D94" s="27"/>
      <c r="F94" s="25"/>
    </row>
    <row r="95" spans="1:6" ht="28.55" customHeight="1">
      <c r="C95" s="26"/>
      <c r="D95" s="27"/>
      <c r="F95" s="25"/>
    </row>
    <row r="96" spans="1:6" ht="28.55" customHeight="1">
      <c r="C96" s="26"/>
      <c r="D96" s="27"/>
      <c r="F96" s="25"/>
    </row>
    <row r="97" spans="3:6" ht="28.55" customHeight="1">
      <c r="C97" s="26"/>
      <c r="D97" s="27"/>
      <c r="F97" s="25"/>
    </row>
    <row r="98" spans="3:6" ht="28.55" customHeight="1">
      <c r="C98" s="26"/>
      <c r="D98" s="27"/>
      <c r="F98" s="25"/>
    </row>
    <row r="99" spans="3:6" ht="28.55" customHeight="1">
      <c r="C99" s="26"/>
      <c r="D99" s="27"/>
      <c r="F99" s="25"/>
    </row>
    <row r="100" spans="3:6" ht="28.55" customHeight="1">
      <c r="C100" s="26"/>
      <c r="D100" s="27"/>
      <c r="F100" s="25"/>
    </row>
    <row r="101" spans="3:6" ht="28.55" customHeight="1">
      <c r="C101" s="26"/>
      <c r="D101" s="27"/>
      <c r="F101" s="25"/>
    </row>
    <row r="102" spans="3:6" ht="28.55" customHeight="1">
      <c r="C102" s="26"/>
      <c r="D102" s="27"/>
      <c r="F102" s="25"/>
    </row>
    <row r="103" spans="3:6" ht="28.55" customHeight="1">
      <c r="C103" s="26"/>
      <c r="D103" s="27"/>
      <c r="F103" s="25"/>
    </row>
    <row r="104" spans="3:6" ht="28.55" customHeight="1">
      <c r="C104" s="26"/>
      <c r="D104" s="27"/>
      <c r="F104" s="25"/>
    </row>
    <row r="105" spans="3:6" ht="28.55" customHeight="1">
      <c r="C105" s="26"/>
      <c r="D105" s="27"/>
      <c r="F105" s="25"/>
    </row>
    <row r="106" spans="3:6" ht="28.55" customHeight="1">
      <c r="C106" s="26"/>
      <c r="D106" s="27"/>
      <c r="F106" s="25"/>
    </row>
    <row r="107" spans="3:6" ht="28.55" customHeight="1">
      <c r="C107" s="26"/>
      <c r="D107" s="27"/>
      <c r="F107" s="25"/>
    </row>
    <row r="108" spans="3:6" ht="28.55" customHeight="1">
      <c r="C108" s="26"/>
      <c r="D108" s="27"/>
      <c r="F108" s="25"/>
    </row>
    <row r="109" spans="3:6" ht="28.55" customHeight="1">
      <c r="C109" s="26"/>
      <c r="D109" s="27"/>
      <c r="F109" s="25"/>
    </row>
    <row r="110" spans="3:6" ht="28.55" customHeight="1">
      <c r="C110" s="26"/>
      <c r="D110" s="27"/>
      <c r="F110" s="25"/>
    </row>
    <row r="111" spans="3:6" ht="28.55" customHeight="1">
      <c r="C111" s="26"/>
      <c r="D111" s="27"/>
      <c r="F111" s="25"/>
    </row>
    <row r="112" spans="3:6" ht="28.55" customHeight="1">
      <c r="C112" s="26"/>
      <c r="D112" s="27"/>
      <c r="F112" s="25"/>
    </row>
    <row r="113" spans="3:6" ht="28.55" customHeight="1">
      <c r="C113" s="26"/>
      <c r="D113" s="27"/>
      <c r="F113" s="25"/>
    </row>
    <row r="114" spans="3:6" ht="28.55" customHeight="1">
      <c r="C114" s="26"/>
      <c r="D114" s="27"/>
      <c r="F114" s="25"/>
    </row>
    <row r="115" spans="3:6" ht="28.55" customHeight="1">
      <c r="C115" s="26"/>
      <c r="D115" s="27"/>
      <c r="F115" s="25"/>
    </row>
    <row r="116" spans="3:6" ht="28.55" customHeight="1">
      <c r="C116" s="26"/>
      <c r="D116" s="27"/>
      <c r="F116" s="25"/>
    </row>
    <row r="117" spans="3:6" ht="28.55" customHeight="1">
      <c r="C117" s="26"/>
      <c r="D117" s="27"/>
      <c r="F117" s="25"/>
    </row>
    <row r="118" spans="3:6" ht="28.55" customHeight="1">
      <c r="C118" s="26"/>
      <c r="D118" s="27"/>
      <c r="F118" s="25"/>
    </row>
    <row r="119" spans="3:6" ht="28.55" customHeight="1">
      <c r="C119" s="26"/>
      <c r="D119" s="27"/>
      <c r="F119" s="25"/>
    </row>
    <row r="120" spans="3:6" ht="28.55" customHeight="1">
      <c r="C120" s="26"/>
      <c r="D120" s="27"/>
      <c r="F120" s="25"/>
    </row>
    <row r="121" spans="3:6" ht="28.55" customHeight="1">
      <c r="C121" s="26"/>
      <c r="D121" s="27"/>
      <c r="F121" s="25"/>
    </row>
    <row r="122" spans="3:6" ht="28.55" customHeight="1">
      <c r="C122" s="26"/>
      <c r="D122" s="27"/>
      <c r="F122" s="25"/>
    </row>
    <row r="123" spans="3:6" ht="28.55" customHeight="1">
      <c r="C123" s="26"/>
      <c r="D123" s="27"/>
      <c r="F123" s="25"/>
    </row>
    <row r="124" spans="3:6" ht="28.55" customHeight="1">
      <c r="C124" s="26"/>
      <c r="D124" s="27"/>
      <c r="F124" s="25"/>
    </row>
    <row r="125" spans="3:6" ht="28.55" customHeight="1">
      <c r="C125" s="26"/>
      <c r="D125" s="27"/>
      <c r="F125" s="25"/>
    </row>
    <row r="126" spans="3:6" ht="28.55" customHeight="1">
      <c r="C126" s="26"/>
      <c r="D126" s="27"/>
      <c r="F126" s="25"/>
    </row>
    <row r="127" spans="3:6" ht="28.55" customHeight="1">
      <c r="C127" s="26"/>
      <c r="D127" s="27"/>
      <c r="F127" s="25"/>
    </row>
    <row r="128" spans="3:6" ht="28.55" customHeight="1">
      <c r="C128" s="26"/>
      <c r="D128" s="27"/>
      <c r="F128" s="25"/>
    </row>
    <row r="129" spans="3:6" ht="28.55" customHeight="1">
      <c r="C129" s="26"/>
      <c r="D129" s="27"/>
      <c r="F129" s="25"/>
    </row>
    <row r="130" spans="3:6" ht="28.55" customHeight="1">
      <c r="C130" s="26"/>
      <c r="D130" s="27"/>
      <c r="F130" s="25"/>
    </row>
    <row r="131" spans="3:6" ht="28.55" customHeight="1">
      <c r="C131" s="26"/>
      <c r="D131" s="27"/>
      <c r="F131" s="25"/>
    </row>
    <row r="132" spans="3:6" ht="28.55" customHeight="1">
      <c r="C132" s="26"/>
      <c r="D132" s="27"/>
      <c r="F132" s="25"/>
    </row>
    <row r="133" spans="3:6" ht="28.55" customHeight="1">
      <c r="C133" s="26"/>
      <c r="D133" s="27"/>
      <c r="F133" s="25"/>
    </row>
    <row r="134" spans="3:6" ht="28.55" customHeight="1">
      <c r="C134" s="26"/>
      <c r="D134" s="27"/>
      <c r="F134" s="25"/>
    </row>
    <row r="135" spans="3:6" ht="28.55" customHeight="1">
      <c r="C135" s="26"/>
      <c r="D135" s="27"/>
      <c r="F135" s="25"/>
    </row>
    <row r="136" spans="3:6" ht="28.55" customHeight="1">
      <c r="C136" s="26"/>
      <c r="D136" s="27"/>
      <c r="F136" s="25"/>
    </row>
    <row r="137" spans="3:6" ht="28.55" customHeight="1">
      <c r="C137" s="26"/>
      <c r="D137" s="27"/>
      <c r="F137" s="25"/>
    </row>
    <row r="138" spans="3:6" ht="28.55" customHeight="1">
      <c r="C138" s="26"/>
      <c r="D138" s="27"/>
      <c r="F138" s="25"/>
    </row>
    <row r="139" spans="3:6" ht="28.55" customHeight="1">
      <c r="C139" s="26"/>
      <c r="D139" s="27"/>
      <c r="F139" s="25"/>
    </row>
    <row r="140" spans="3:6" ht="28.55" customHeight="1">
      <c r="C140" s="26"/>
      <c r="D140" s="27"/>
      <c r="F140" s="25"/>
    </row>
    <row r="141" spans="3:6" ht="28.55" customHeight="1">
      <c r="C141" s="26"/>
      <c r="D141" s="27"/>
      <c r="F141" s="25"/>
    </row>
    <row r="142" spans="3:6" ht="28.55" customHeight="1">
      <c r="C142" s="26"/>
      <c r="D142" s="27"/>
      <c r="F142" s="25"/>
    </row>
    <row r="143" spans="3:6" ht="28.55" customHeight="1">
      <c r="C143" s="26"/>
      <c r="D143" s="27"/>
      <c r="F143" s="25"/>
    </row>
    <row r="144" spans="3:6" ht="28.55" customHeight="1">
      <c r="C144" s="26"/>
      <c r="D144" s="27"/>
      <c r="F144" s="25"/>
    </row>
    <row r="145" spans="3:6" ht="28.55" customHeight="1">
      <c r="C145" s="26"/>
      <c r="D145" s="27"/>
      <c r="F145" s="25"/>
    </row>
    <row r="146" spans="3:6" ht="28.55" customHeight="1">
      <c r="C146" s="26"/>
      <c r="D146" s="27"/>
      <c r="F146" s="25"/>
    </row>
    <row r="147" spans="3:6" ht="28.55" customHeight="1">
      <c r="C147" s="26"/>
      <c r="D147" s="27"/>
      <c r="F147" s="25"/>
    </row>
    <row r="148" spans="3:6" ht="28.55" customHeight="1">
      <c r="C148" s="26"/>
      <c r="D148" s="27"/>
      <c r="F148" s="25"/>
    </row>
    <row r="149" spans="3:6" ht="28.55" customHeight="1">
      <c r="C149" s="26"/>
      <c r="D149" s="27"/>
      <c r="F149" s="25"/>
    </row>
    <row r="150" spans="3:6" ht="28.55" customHeight="1">
      <c r="C150" s="26"/>
      <c r="D150" s="27"/>
      <c r="F150" s="25"/>
    </row>
    <row r="151" spans="3:6" ht="28.55" customHeight="1">
      <c r="C151" s="26"/>
      <c r="D151" s="27"/>
      <c r="F151" s="25"/>
    </row>
    <row r="152" spans="3:6" ht="28.55" customHeight="1">
      <c r="C152" s="26"/>
      <c r="D152" s="27"/>
      <c r="F152" s="25"/>
    </row>
    <row r="153" spans="3:6" ht="28.55" customHeight="1">
      <c r="C153" s="26"/>
      <c r="D153" s="27"/>
      <c r="F153" s="25"/>
    </row>
    <row r="154" spans="3:6" ht="28.55" customHeight="1">
      <c r="C154" s="26"/>
      <c r="D154" s="27"/>
      <c r="F154" s="25"/>
    </row>
    <row r="155" spans="3:6" ht="28.55" customHeight="1">
      <c r="C155" s="26"/>
      <c r="D155" s="27"/>
      <c r="F155" s="25"/>
    </row>
    <row r="156" spans="3:6" ht="28.55" customHeight="1">
      <c r="C156" s="26"/>
      <c r="D156" s="27"/>
      <c r="F156" s="25"/>
    </row>
    <row r="157" spans="3:6" ht="28.55" customHeight="1">
      <c r="C157" s="26"/>
      <c r="D157" s="27"/>
      <c r="F157" s="25"/>
    </row>
    <row r="158" spans="3:6" ht="28.55" customHeight="1">
      <c r="C158" s="26"/>
      <c r="D158" s="27"/>
      <c r="F158" s="25"/>
    </row>
    <row r="159" spans="3:6" ht="28.55" customHeight="1">
      <c r="C159" s="26"/>
      <c r="D159" s="27"/>
      <c r="F159" s="25"/>
    </row>
    <row r="160" spans="3:6" ht="28.55" customHeight="1">
      <c r="C160" s="26"/>
      <c r="D160" s="27"/>
      <c r="F160" s="25"/>
    </row>
    <row r="161" spans="3:6" ht="28.55" customHeight="1">
      <c r="C161" s="26"/>
      <c r="D161" s="27"/>
      <c r="F161" s="25"/>
    </row>
    <row r="162" spans="3:6" ht="28.55" customHeight="1">
      <c r="C162" s="26"/>
      <c r="D162" s="27"/>
      <c r="F162" s="25"/>
    </row>
    <row r="163" spans="3:6" ht="28.55" customHeight="1">
      <c r="C163" s="26"/>
      <c r="D163" s="27"/>
      <c r="F163" s="25"/>
    </row>
    <row r="164" spans="3:6" ht="28.55" customHeight="1">
      <c r="C164" s="26"/>
      <c r="D164" s="27"/>
      <c r="F164" s="25"/>
    </row>
    <row r="165" spans="3:6" ht="28.55" customHeight="1">
      <c r="C165" s="26"/>
      <c r="D165" s="27"/>
      <c r="F165" s="25"/>
    </row>
    <row r="166" spans="3:6" ht="28.55" customHeight="1">
      <c r="C166" s="26"/>
      <c r="D166" s="27"/>
      <c r="F166" s="25"/>
    </row>
    <row r="167" spans="3:6" ht="28.55" customHeight="1">
      <c r="C167" s="26"/>
      <c r="D167" s="27"/>
      <c r="F167" s="25"/>
    </row>
    <row r="168" spans="3:6" ht="28.55" customHeight="1">
      <c r="C168" s="26"/>
      <c r="D168" s="27"/>
      <c r="F168" s="25"/>
    </row>
    <row r="169" spans="3:6" ht="28.55" customHeight="1">
      <c r="C169" s="26"/>
      <c r="D169" s="27"/>
      <c r="F169" s="25"/>
    </row>
    <row r="170" spans="3:6" ht="28.55" customHeight="1">
      <c r="C170" s="26"/>
      <c r="D170" s="27"/>
      <c r="F170" s="25"/>
    </row>
    <row r="171" spans="3:6" ht="28.55" customHeight="1">
      <c r="C171" s="26"/>
      <c r="D171" s="27"/>
      <c r="F171" s="25"/>
    </row>
    <row r="172" spans="3:6" ht="28.55" customHeight="1">
      <c r="C172" s="26"/>
      <c r="D172" s="27"/>
      <c r="F172" s="25"/>
    </row>
    <row r="173" spans="3:6" ht="28.55" customHeight="1">
      <c r="C173" s="26"/>
      <c r="D173" s="27"/>
      <c r="F173" s="25"/>
    </row>
    <row r="174" spans="3:6" ht="28.55" customHeight="1">
      <c r="C174" s="26"/>
      <c r="D174" s="27"/>
      <c r="F174" s="25"/>
    </row>
    <row r="175" spans="3:6" ht="28.55" customHeight="1">
      <c r="C175" s="26"/>
      <c r="D175" s="27"/>
      <c r="F175" s="25"/>
    </row>
    <row r="176" spans="3:6" ht="28.55" customHeight="1">
      <c r="C176" s="26"/>
      <c r="D176" s="27"/>
      <c r="F176" s="25"/>
    </row>
    <row r="177" spans="3:6" ht="28.55" customHeight="1">
      <c r="C177" s="26"/>
      <c r="D177" s="27"/>
      <c r="F177" s="25"/>
    </row>
    <row r="178" spans="3:6" ht="28.55" customHeight="1">
      <c r="C178" s="26"/>
      <c r="D178" s="27"/>
      <c r="F178" s="25"/>
    </row>
    <row r="179" spans="3:6" ht="28.55" customHeight="1">
      <c r="C179" s="26"/>
      <c r="D179" s="27"/>
      <c r="F179" s="25"/>
    </row>
    <row r="180" spans="3:6" ht="28.55" customHeight="1">
      <c r="C180" s="26"/>
      <c r="D180" s="27"/>
      <c r="F180" s="25"/>
    </row>
    <row r="181" spans="3:6" ht="28.55" customHeight="1">
      <c r="C181" s="26"/>
      <c r="D181" s="27"/>
      <c r="F181" s="25"/>
    </row>
    <row r="182" spans="3:6" ht="28.55" customHeight="1">
      <c r="C182" s="26"/>
      <c r="D182" s="27"/>
      <c r="F182" s="25"/>
    </row>
    <row r="183" spans="3:6" ht="28.55" customHeight="1">
      <c r="C183" s="26"/>
      <c r="D183" s="27"/>
      <c r="F183" s="25"/>
    </row>
    <row r="184" spans="3:6" ht="28.55" customHeight="1">
      <c r="C184" s="26"/>
      <c r="D184" s="27"/>
      <c r="F184" s="25"/>
    </row>
    <row r="185" spans="3:6" ht="28.55" customHeight="1">
      <c r="C185" s="26"/>
      <c r="D185" s="27"/>
      <c r="F185" s="25"/>
    </row>
    <row r="186" spans="3:6" ht="28.55" customHeight="1">
      <c r="C186" s="26"/>
      <c r="D186" s="27"/>
      <c r="F186" s="25"/>
    </row>
    <row r="187" spans="3:6" ht="28.55" customHeight="1">
      <c r="C187" s="26"/>
      <c r="D187" s="27"/>
      <c r="F187" s="25"/>
    </row>
    <row r="188" spans="3:6" ht="28.55" customHeight="1">
      <c r="C188" s="26"/>
      <c r="D188" s="27"/>
      <c r="F188" s="25"/>
    </row>
    <row r="189" spans="3:6" ht="28.55" customHeight="1">
      <c r="C189" s="26"/>
      <c r="D189" s="27"/>
      <c r="F189" s="25"/>
    </row>
    <row r="190" spans="3:6" ht="28.55" customHeight="1">
      <c r="C190" s="26"/>
      <c r="D190" s="27"/>
      <c r="F190" s="25"/>
    </row>
    <row r="191" spans="3:6" ht="28.55" customHeight="1">
      <c r="C191" s="26"/>
      <c r="D191" s="27"/>
      <c r="F191" s="25"/>
    </row>
    <row r="192" spans="3:6" ht="28.55" customHeight="1">
      <c r="C192" s="26"/>
      <c r="D192" s="27"/>
      <c r="F192" s="25"/>
    </row>
    <row r="193" spans="3:6" ht="28.55" customHeight="1">
      <c r="C193" s="26"/>
      <c r="D193" s="27"/>
      <c r="F193" s="25"/>
    </row>
    <row r="194" spans="3:6" ht="28.55" customHeight="1">
      <c r="C194" s="26"/>
      <c r="D194" s="27"/>
      <c r="F194" s="25"/>
    </row>
    <row r="195" spans="3:6" ht="28.55" customHeight="1">
      <c r="C195" s="26"/>
      <c r="D195" s="27"/>
      <c r="F195" s="25"/>
    </row>
    <row r="196" spans="3:6" ht="28.55" customHeight="1">
      <c r="C196" s="26"/>
      <c r="D196" s="27"/>
      <c r="F196" s="25"/>
    </row>
    <row r="197" spans="3:6" ht="28.55" customHeight="1">
      <c r="C197" s="26"/>
      <c r="D197" s="27"/>
      <c r="F197" s="25"/>
    </row>
    <row r="198" spans="3:6" ht="28.55" customHeight="1">
      <c r="C198" s="26"/>
      <c r="D198" s="27"/>
      <c r="F198" s="25"/>
    </row>
    <row r="199" spans="3:6" ht="28.55" customHeight="1">
      <c r="C199" s="26"/>
      <c r="D199" s="27"/>
      <c r="F199" s="25"/>
    </row>
    <row r="200" spans="3:6" ht="28.55" customHeight="1">
      <c r="C200" s="26"/>
      <c r="D200" s="27"/>
      <c r="F200" s="25"/>
    </row>
    <row r="201" spans="3:6" ht="28.55" customHeight="1">
      <c r="C201" s="26"/>
      <c r="D201" s="27"/>
      <c r="F201" s="25"/>
    </row>
    <row r="202" spans="3:6" ht="28.55" customHeight="1">
      <c r="C202" s="26"/>
      <c r="D202" s="27"/>
      <c r="F202" s="25"/>
    </row>
    <row r="203" spans="3:6" ht="28.55" customHeight="1">
      <c r="C203" s="26"/>
      <c r="D203" s="27"/>
      <c r="F203" s="25"/>
    </row>
    <row r="204" spans="3:6" ht="28.55" customHeight="1">
      <c r="C204" s="26"/>
      <c r="D204" s="27"/>
      <c r="F204" s="25"/>
    </row>
    <row r="205" spans="3:6" ht="28.55" customHeight="1">
      <c r="C205" s="26"/>
      <c r="D205" s="27"/>
      <c r="F205" s="25"/>
    </row>
    <row r="206" spans="3:6" ht="28.55" customHeight="1">
      <c r="C206" s="26"/>
      <c r="D206" s="27"/>
      <c r="F206" s="25"/>
    </row>
    <row r="207" spans="3:6" ht="28.55" customHeight="1">
      <c r="C207" s="26"/>
      <c r="D207" s="27"/>
      <c r="F207" s="25"/>
    </row>
    <row r="208" spans="3:6" ht="28.55" customHeight="1">
      <c r="C208" s="26"/>
      <c r="D208" s="27"/>
      <c r="F208" s="25"/>
    </row>
    <row r="209" spans="3:6" ht="28.55" customHeight="1">
      <c r="C209" s="26"/>
      <c r="D209" s="27"/>
      <c r="F209" s="25"/>
    </row>
    <row r="210" spans="3:6" ht="28.55" customHeight="1">
      <c r="C210" s="26"/>
      <c r="D210" s="27"/>
      <c r="F210" s="25"/>
    </row>
    <row r="211" spans="3:6" ht="28.55" customHeight="1">
      <c r="C211" s="26"/>
      <c r="D211" s="27"/>
      <c r="F211" s="25"/>
    </row>
    <row r="212" spans="3:6" ht="28.55" customHeight="1">
      <c r="C212" s="26"/>
      <c r="D212" s="27"/>
      <c r="F212" s="25"/>
    </row>
    <row r="213" spans="3:6" ht="28.55" customHeight="1">
      <c r="C213" s="26"/>
      <c r="D213" s="27"/>
      <c r="F213" s="25"/>
    </row>
    <row r="214" spans="3:6" ht="28.55" customHeight="1">
      <c r="C214" s="26"/>
      <c r="D214" s="27"/>
      <c r="F214" s="25"/>
    </row>
    <row r="215" spans="3:6" ht="28.55" customHeight="1">
      <c r="C215" s="26"/>
      <c r="D215" s="27"/>
      <c r="F215" s="25"/>
    </row>
    <row r="216" spans="3:6" ht="28.55" customHeight="1">
      <c r="C216" s="26"/>
      <c r="D216" s="27"/>
      <c r="F216" s="25"/>
    </row>
    <row r="217" spans="3:6" ht="28.55" customHeight="1">
      <c r="C217" s="26"/>
      <c r="D217" s="27"/>
      <c r="F217" s="25"/>
    </row>
    <row r="218" spans="3:6" ht="28.55" customHeight="1">
      <c r="C218" s="26"/>
      <c r="D218" s="27"/>
      <c r="F218" s="25"/>
    </row>
    <row r="219" spans="3:6" ht="28.55" customHeight="1">
      <c r="C219" s="26"/>
      <c r="D219" s="27"/>
      <c r="F219" s="25"/>
    </row>
    <row r="220" spans="3:6" ht="28.55" customHeight="1">
      <c r="C220" s="26"/>
      <c r="D220" s="27"/>
      <c r="F220" s="25"/>
    </row>
    <row r="221" spans="3:6" ht="28.55" customHeight="1">
      <c r="C221" s="26"/>
      <c r="D221" s="27"/>
      <c r="F221" s="25"/>
    </row>
    <row r="222" spans="3:6" ht="28.55" customHeight="1">
      <c r="C222" s="26"/>
      <c r="D222" s="27"/>
      <c r="F222" s="25"/>
    </row>
    <row r="223" spans="3:6" ht="28.55" customHeight="1">
      <c r="C223" s="26"/>
      <c r="D223" s="27"/>
      <c r="F223" s="25"/>
    </row>
    <row r="224" spans="3:6" ht="28.55" customHeight="1">
      <c r="C224" s="26"/>
      <c r="D224" s="27"/>
      <c r="F224" s="25"/>
    </row>
    <row r="225" spans="3:6" ht="28.55" customHeight="1">
      <c r="C225" s="26"/>
      <c r="D225" s="27"/>
      <c r="F225" s="25"/>
    </row>
    <row r="226" spans="3:6" ht="28.55" customHeight="1">
      <c r="C226" s="26"/>
      <c r="D226" s="27"/>
      <c r="F226" s="25"/>
    </row>
    <row r="227" spans="3:6" ht="28.55" customHeight="1">
      <c r="C227" s="26"/>
      <c r="D227" s="27"/>
      <c r="F227" s="25"/>
    </row>
    <row r="228" spans="3:6" ht="28.55" customHeight="1">
      <c r="C228" s="26"/>
      <c r="D228" s="27"/>
      <c r="F228" s="25"/>
    </row>
    <row r="229" spans="3:6" ht="28.55" customHeight="1">
      <c r="C229" s="26"/>
      <c r="D229" s="27"/>
      <c r="F229" s="25"/>
    </row>
    <row r="230" spans="3:6" ht="28.55" customHeight="1">
      <c r="C230" s="26"/>
      <c r="D230" s="27"/>
      <c r="F230" s="25"/>
    </row>
    <row r="231" spans="3:6" ht="28.55" customHeight="1">
      <c r="C231" s="26"/>
      <c r="D231" s="27"/>
      <c r="F231" s="25"/>
    </row>
    <row r="232" spans="3:6" ht="28.55" customHeight="1">
      <c r="C232" s="26"/>
      <c r="D232" s="27"/>
      <c r="F232" s="25"/>
    </row>
    <row r="233" spans="3:6" ht="28.55" customHeight="1">
      <c r="C233" s="26"/>
      <c r="D233" s="27"/>
      <c r="F233" s="25"/>
    </row>
    <row r="234" spans="3:6" ht="28.55" customHeight="1">
      <c r="C234" s="26"/>
      <c r="D234" s="27"/>
      <c r="F234" s="25"/>
    </row>
    <row r="235" spans="3:6" ht="28.55" customHeight="1">
      <c r="C235" s="26"/>
      <c r="D235" s="27"/>
      <c r="F235" s="25"/>
    </row>
    <row r="236" spans="3:6" ht="28.55" customHeight="1">
      <c r="C236" s="26"/>
      <c r="D236" s="27"/>
      <c r="F236" s="25"/>
    </row>
    <row r="237" spans="3:6" ht="28.55" customHeight="1">
      <c r="C237" s="26"/>
      <c r="D237" s="27"/>
      <c r="F237" s="25"/>
    </row>
    <row r="238" spans="3:6" ht="28.55" customHeight="1">
      <c r="C238" s="26"/>
      <c r="D238" s="27"/>
      <c r="F238" s="25"/>
    </row>
    <row r="239" spans="3:6" ht="28.55" customHeight="1">
      <c r="C239" s="26"/>
      <c r="D239" s="27"/>
      <c r="F239" s="25"/>
    </row>
    <row r="240" spans="3:6" ht="28.55" customHeight="1">
      <c r="C240" s="26"/>
      <c r="D240" s="27"/>
      <c r="F240" s="25"/>
    </row>
    <row r="241" spans="3:6" ht="28.55" customHeight="1">
      <c r="C241" s="26"/>
      <c r="D241" s="27"/>
      <c r="F241" s="25"/>
    </row>
    <row r="242" spans="3:6" ht="28.55" customHeight="1">
      <c r="C242" s="26"/>
      <c r="D242" s="27"/>
      <c r="F242" s="25"/>
    </row>
    <row r="243" spans="3:6" ht="28.55" customHeight="1">
      <c r="C243" s="26"/>
      <c r="D243" s="27"/>
      <c r="F243" s="25"/>
    </row>
    <row r="244" spans="3:6" ht="28.55" customHeight="1">
      <c r="C244" s="26"/>
      <c r="D244" s="27"/>
      <c r="F244" s="25"/>
    </row>
    <row r="245" spans="3:6" ht="28.55" customHeight="1">
      <c r="C245" s="26"/>
      <c r="D245" s="27"/>
      <c r="F245" s="25"/>
    </row>
    <row r="246" spans="3:6" ht="28.55" customHeight="1">
      <c r="C246" s="26"/>
      <c r="D246" s="27"/>
      <c r="F246" s="25"/>
    </row>
    <row r="247" spans="3:6" ht="28.55" customHeight="1">
      <c r="C247" s="26"/>
      <c r="D247" s="27"/>
      <c r="F247" s="25"/>
    </row>
    <row r="248" spans="3:6" ht="28.55" customHeight="1">
      <c r="C248" s="26"/>
      <c r="D248" s="27"/>
      <c r="F248" s="25"/>
    </row>
    <row r="249" spans="3:6" ht="28.55" customHeight="1">
      <c r="C249" s="26"/>
      <c r="D249" s="27"/>
      <c r="F249" s="25"/>
    </row>
    <row r="250" spans="3:6" ht="28.55" customHeight="1">
      <c r="C250" s="26"/>
      <c r="D250" s="27"/>
      <c r="F250" s="25"/>
    </row>
    <row r="251" spans="3:6" ht="28.55" customHeight="1">
      <c r="C251" s="26"/>
      <c r="D251" s="27"/>
      <c r="F251" s="25"/>
    </row>
    <row r="252" spans="3:6" ht="28.55" customHeight="1">
      <c r="C252" s="26"/>
      <c r="D252" s="27"/>
      <c r="F252" s="25"/>
    </row>
    <row r="253" spans="3:6" ht="28.55" customHeight="1">
      <c r="C253" s="26"/>
      <c r="D253" s="27"/>
      <c r="F253" s="25"/>
    </row>
    <row r="254" spans="3:6" ht="28.55" customHeight="1">
      <c r="C254" s="26"/>
      <c r="D254" s="27"/>
      <c r="F254" s="25"/>
    </row>
    <row r="255" spans="3:6" ht="28.55" customHeight="1">
      <c r="C255" s="26"/>
      <c r="D255" s="27"/>
      <c r="F255" s="25"/>
    </row>
    <row r="256" spans="3:6" ht="28.55" customHeight="1">
      <c r="C256" s="26"/>
      <c r="D256" s="27"/>
      <c r="F256" s="25"/>
    </row>
    <row r="257" spans="3:6" ht="28.55" customHeight="1">
      <c r="C257" s="26"/>
      <c r="D257" s="27"/>
      <c r="F257" s="25"/>
    </row>
    <row r="258" spans="3:6" ht="28.55" customHeight="1">
      <c r="C258" s="26"/>
      <c r="D258" s="27"/>
      <c r="F258" s="25"/>
    </row>
    <row r="259" spans="3:6" ht="28.55" customHeight="1">
      <c r="C259" s="26"/>
      <c r="D259" s="27"/>
      <c r="F259" s="25"/>
    </row>
    <row r="260" spans="3:6" ht="28.55" customHeight="1">
      <c r="C260" s="26"/>
      <c r="D260" s="27"/>
      <c r="F260" s="25"/>
    </row>
    <row r="261" spans="3:6" ht="28.55" customHeight="1">
      <c r="C261" s="26"/>
      <c r="D261" s="27"/>
      <c r="F261" s="25"/>
    </row>
    <row r="262" spans="3:6" ht="28.55" customHeight="1">
      <c r="C262" s="26"/>
      <c r="D262" s="27"/>
      <c r="F262" s="25"/>
    </row>
    <row r="263" spans="3:6" ht="28.55" customHeight="1">
      <c r="C263" s="26"/>
      <c r="D263" s="27"/>
      <c r="F263" s="25"/>
    </row>
    <row r="264" spans="3:6" ht="28.55" customHeight="1">
      <c r="C264" s="26"/>
      <c r="D264" s="27"/>
      <c r="F264" s="25"/>
    </row>
    <row r="265" spans="3:6" ht="28.55" customHeight="1">
      <c r="C265" s="26"/>
      <c r="D265" s="27"/>
      <c r="F265" s="25"/>
    </row>
    <row r="266" spans="3:6" ht="28.55" customHeight="1">
      <c r="C266" s="26"/>
      <c r="D266" s="27"/>
      <c r="F266" s="25"/>
    </row>
    <row r="267" spans="3:6" ht="28.55" customHeight="1">
      <c r="C267" s="26"/>
      <c r="D267" s="27"/>
      <c r="F267" s="25"/>
    </row>
    <row r="268" spans="3:6" ht="28.55" customHeight="1">
      <c r="C268" s="26"/>
      <c r="D268" s="27"/>
      <c r="F268" s="25"/>
    </row>
    <row r="269" spans="3:6" ht="28.55" customHeight="1">
      <c r="C269" s="26"/>
      <c r="D269" s="27"/>
      <c r="F269" s="25"/>
    </row>
    <row r="270" spans="3:6" ht="28.55" customHeight="1">
      <c r="C270" s="26"/>
      <c r="D270" s="27"/>
      <c r="F270" s="25"/>
    </row>
    <row r="271" spans="3:6" ht="28.55" customHeight="1">
      <c r="C271" s="26"/>
      <c r="D271" s="27"/>
      <c r="F271" s="25"/>
    </row>
    <row r="272" spans="3:6" ht="28.55" customHeight="1">
      <c r="C272" s="26"/>
      <c r="D272" s="27"/>
      <c r="F272" s="25"/>
    </row>
    <row r="273" spans="3:6" ht="28.55" customHeight="1">
      <c r="C273" s="26"/>
      <c r="D273" s="27"/>
      <c r="F273" s="25"/>
    </row>
    <row r="274" spans="3:6" ht="28.55" customHeight="1">
      <c r="C274" s="26"/>
      <c r="D274" s="27"/>
      <c r="F274" s="25"/>
    </row>
    <row r="275" spans="3:6" ht="28.55" customHeight="1">
      <c r="C275" s="26"/>
      <c r="D275" s="27"/>
      <c r="F275" s="25"/>
    </row>
    <row r="276" spans="3:6" ht="28.55" customHeight="1">
      <c r="C276" s="26"/>
      <c r="D276" s="27"/>
      <c r="F276" s="25"/>
    </row>
    <row r="277" spans="3:6" ht="28.55" customHeight="1">
      <c r="C277" s="26"/>
      <c r="D277" s="27"/>
      <c r="F277" s="25"/>
    </row>
    <row r="278" spans="3:6" ht="28.55" customHeight="1">
      <c r="C278" s="26"/>
      <c r="D278" s="27"/>
      <c r="F278" s="25"/>
    </row>
    <row r="279" spans="3:6" ht="28.55" customHeight="1">
      <c r="C279" s="26"/>
      <c r="D279" s="27"/>
      <c r="F279" s="25"/>
    </row>
    <row r="280" spans="3:6" ht="28.55" customHeight="1">
      <c r="C280" s="26"/>
      <c r="D280" s="27"/>
      <c r="F280" s="25"/>
    </row>
    <row r="281" spans="3:6" ht="28.55" customHeight="1">
      <c r="C281" s="26"/>
      <c r="D281" s="27"/>
      <c r="F281" s="25"/>
    </row>
    <row r="282" spans="3:6" ht="28.55" customHeight="1">
      <c r="C282" s="26"/>
      <c r="D282" s="27"/>
      <c r="F282" s="25"/>
    </row>
    <row r="283" spans="3:6" ht="28.55" customHeight="1">
      <c r="C283" s="26"/>
      <c r="D283" s="27"/>
      <c r="F283" s="25"/>
    </row>
    <row r="284" spans="3:6" ht="28.55" customHeight="1">
      <c r="C284" s="26"/>
      <c r="D284" s="27"/>
      <c r="F284" s="25"/>
    </row>
    <row r="285" spans="3:6" ht="28.55" customHeight="1">
      <c r="C285" s="26"/>
      <c r="D285" s="27"/>
      <c r="F285" s="25"/>
    </row>
    <row r="286" spans="3:6" ht="28.55" customHeight="1">
      <c r="C286" s="26"/>
      <c r="D286" s="27"/>
      <c r="F286" s="25"/>
    </row>
    <row r="287" spans="3:6" ht="28.55" customHeight="1">
      <c r="C287" s="26"/>
      <c r="D287" s="27"/>
      <c r="F287" s="25"/>
    </row>
    <row r="288" spans="3:6" ht="28.55" customHeight="1">
      <c r="C288" s="26"/>
      <c r="D288" s="27"/>
      <c r="F288" s="25"/>
    </row>
    <row r="289" spans="3:6" ht="28.55" customHeight="1">
      <c r="C289" s="26"/>
      <c r="D289" s="27"/>
      <c r="F289" s="25"/>
    </row>
    <row r="290" spans="3:6" ht="28.55" customHeight="1">
      <c r="C290" s="26"/>
      <c r="D290" s="27"/>
      <c r="F290" s="25"/>
    </row>
    <row r="291" spans="3:6" ht="28.55" customHeight="1">
      <c r="C291" s="26"/>
      <c r="D291" s="27"/>
      <c r="F291" s="25"/>
    </row>
    <row r="292" spans="3:6" ht="28.55" customHeight="1">
      <c r="C292" s="26"/>
      <c r="D292" s="27"/>
      <c r="F292" s="25"/>
    </row>
    <row r="293" spans="3:6" ht="28.55" customHeight="1">
      <c r="C293" s="26"/>
      <c r="D293" s="27"/>
      <c r="F293" s="25"/>
    </row>
    <row r="294" spans="3:6" ht="28.55" customHeight="1">
      <c r="C294" s="26"/>
      <c r="D294" s="27"/>
      <c r="F294" s="25"/>
    </row>
    <row r="295" spans="3:6" ht="28.55" customHeight="1">
      <c r="C295" s="26"/>
      <c r="D295" s="27"/>
      <c r="F295" s="25"/>
    </row>
    <row r="296" spans="3:6" ht="28.55" customHeight="1">
      <c r="C296" s="26"/>
      <c r="D296" s="27"/>
      <c r="F296" s="25"/>
    </row>
    <row r="297" spans="3:6" ht="28.55" customHeight="1">
      <c r="C297" s="26"/>
      <c r="D297" s="27"/>
      <c r="F297" s="25"/>
    </row>
    <row r="298" spans="3:6" ht="28.55" customHeight="1">
      <c r="C298" s="26"/>
      <c r="D298" s="27"/>
      <c r="F298" s="25"/>
    </row>
    <row r="299" spans="3:6" ht="28.55" customHeight="1">
      <c r="C299" s="26"/>
      <c r="D299" s="27"/>
      <c r="F299" s="25"/>
    </row>
    <row r="300" spans="3:6" ht="28.55" customHeight="1">
      <c r="C300" s="26"/>
      <c r="D300" s="27"/>
      <c r="F300" s="25"/>
    </row>
    <row r="301" spans="3:6" ht="28.55" customHeight="1">
      <c r="C301" s="26"/>
      <c r="D301" s="27"/>
      <c r="F301" s="25"/>
    </row>
    <row r="302" spans="3:6" ht="28.55" customHeight="1">
      <c r="C302" s="26"/>
      <c r="D302" s="27"/>
      <c r="F302" s="25"/>
    </row>
    <row r="303" spans="3:6" ht="28.55" customHeight="1">
      <c r="C303" s="26"/>
      <c r="D303" s="27"/>
      <c r="F303" s="25"/>
    </row>
    <row r="304" spans="3:6" ht="28.55" customHeight="1">
      <c r="C304" s="26"/>
      <c r="D304" s="27"/>
      <c r="F304" s="25"/>
    </row>
    <row r="305" spans="3:6" ht="28.55" customHeight="1">
      <c r="C305" s="26"/>
      <c r="D305" s="27"/>
      <c r="F305" s="25"/>
    </row>
    <row r="306" spans="3:6" ht="28.55" customHeight="1">
      <c r="C306" s="26"/>
      <c r="D306" s="27"/>
      <c r="F306" s="25"/>
    </row>
    <row r="307" spans="3:6" ht="28.55" customHeight="1">
      <c r="C307" s="26"/>
      <c r="D307" s="27"/>
      <c r="F307" s="25"/>
    </row>
    <row r="308" spans="3:6" ht="28.55" customHeight="1">
      <c r="C308" s="26"/>
      <c r="D308" s="27"/>
      <c r="F308" s="25"/>
    </row>
    <row r="309" spans="3:6" ht="28.55" customHeight="1">
      <c r="C309" s="26"/>
      <c r="D309" s="27"/>
      <c r="F309" s="25"/>
    </row>
    <row r="310" spans="3:6" ht="28.55" customHeight="1">
      <c r="C310" s="26"/>
      <c r="D310" s="27"/>
      <c r="F310" s="25"/>
    </row>
    <row r="311" spans="3:6" ht="28.55" customHeight="1">
      <c r="C311" s="26"/>
      <c r="D311" s="27"/>
      <c r="F311" s="25"/>
    </row>
    <row r="312" spans="3:6" ht="28.55" customHeight="1">
      <c r="C312" s="26"/>
      <c r="D312" s="27"/>
      <c r="F312" s="25"/>
    </row>
    <row r="313" spans="3:6" ht="28.55" customHeight="1">
      <c r="C313" s="26"/>
      <c r="D313" s="27"/>
      <c r="F313" s="25"/>
    </row>
    <row r="314" spans="3:6" ht="28.55" customHeight="1">
      <c r="C314" s="26"/>
      <c r="D314" s="27"/>
      <c r="F314" s="25"/>
    </row>
    <row r="315" spans="3:6" ht="28.55" customHeight="1">
      <c r="C315" s="26"/>
      <c r="D315" s="27"/>
      <c r="F315" s="25"/>
    </row>
    <row r="316" spans="3:6" ht="28.55" customHeight="1">
      <c r="C316" s="26"/>
      <c r="D316" s="27"/>
      <c r="F316" s="25"/>
    </row>
    <row r="317" spans="3:6" ht="28.55" customHeight="1">
      <c r="C317" s="26"/>
      <c r="D317" s="27"/>
      <c r="F317" s="25"/>
    </row>
    <row r="318" spans="3:6" ht="28.55" customHeight="1">
      <c r="C318" s="26"/>
      <c r="D318" s="27"/>
      <c r="F318" s="25"/>
    </row>
    <row r="319" spans="3:6" ht="28.55" customHeight="1">
      <c r="C319" s="26"/>
      <c r="D319" s="27"/>
      <c r="F319" s="25"/>
    </row>
    <row r="320" spans="3:6" ht="28.55" customHeight="1">
      <c r="C320" s="26"/>
      <c r="D320" s="27"/>
      <c r="F320" s="25"/>
    </row>
    <row r="321" spans="3:6" ht="28.55" customHeight="1">
      <c r="C321" s="26"/>
      <c r="D321" s="27"/>
      <c r="F321" s="25"/>
    </row>
    <row r="322" spans="3:6" ht="28.55" customHeight="1">
      <c r="C322" s="26"/>
      <c r="D322" s="27"/>
      <c r="F322" s="25"/>
    </row>
    <row r="323" spans="3:6" ht="28.55" customHeight="1">
      <c r="C323" s="26"/>
      <c r="D323" s="27"/>
      <c r="F323" s="25"/>
    </row>
    <row r="324" spans="3:6" ht="28.55" customHeight="1">
      <c r="C324" s="26"/>
      <c r="D324" s="27"/>
      <c r="F324" s="25"/>
    </row>
    <row r="325" spans="3:6" ht="28.55" customHeight="1">
      <c r="C325" s="26"/>
      <c r="D325" s="27"/>
      <c r="F325" s="25"/>
    </row>
    <row r="326" spans="3:6" ht="28.55" customHeight="1">
      <c r="C326" s="26"/>
      <c r="D326" s="27"/>
      <c r="F326" s="25"/>
    </row>
    <row r="327" spans="3:6" ht="28.55" customHeight="1">
      <c r="C327" s="26"/>
      <c r="D327" s="27"/>
      <c r="F327" s="25"/>
    </row>
    <row r="328" spans="3:6" ht="28.55" customHeight="1">
      <c r="C328" s="26"/>
      <c r="D328" s="27"/>
      <c r="F328" s="25"/>
    </row>
    <row r="329" spans="3:6" ht="28.55" customHeight="1">
      <c r="C329" s="26"/>
      <c r="D329" s="27"/>
      <c r="F329" s="25"/>
    </row>
    <row r="330" spans="3:6" ht="28.55" customHeight="1">
      <c r="C330" s="26"/>
      <c r="D330" s="27"/>
      <c r="F330" s="25"/>
    </row>
    <row r="331" spans="3:6" ht="28.55" customHeight="1">
      <c r="C331" s="26"/>
      <c r="D331" s="27"/>
      <c r="F331" s="25"/>
    </row>
    <row r="332" spans="3:6" ht="28.55" customHeight="1">
      <c r="C332" s="26"/>
      <c r="D332" s="27"/>
      <c r="F332" s="25"/>
    </row>
    <row r="333" spans="3:6" ht="28.55" customHeight="1">
      <c r="C333" s="26"/>
      <c r="D333" s="27"/>
      <c r="F333" s="25"/>
    </row>
    <row r="334" spans="3:6" ht="28.55" customHeight="1">
      <c r="C334" s="26"/>
      <c r="D334" s="27"/>
      <c r="F334" s="25"/>
    </row>
    <row r="335" spans="3:6" ht="28.55" customHeight="1">
      <c r="C335" s="26"/>
      <c r="D335" s="27"/>
      <c r="F335" s="25"/>
    </row>
    <row r="336" spans="3:6" ht="28.55" customHeight="1">
      <c r="C336" s="26"/>
      <c r="D336" s="27"/>
      <c r="F336" s="25"/>
    </row>
    <row r="337" spans="3:6" ht="28.55" customHeight="1">
      <c r="C337" s="26"/>
      <c r="D337" s="27"/>
      <c r="F337" s="25"/>
    </row>
    <row r="338" spans="3:6" ht="28.55" customHeight="1">
      <c r="C338" s="26"/>
      <c r="D338" s="27"/>
      <c r="F338" s="25"/>
    </row>
    <row r="339" spans="3:6" ht="28.55" customHeight="1">
      <c r="C339" s="26"/>
      <c r="D339" s="27"/>
      <c r="F339" s="25"/>
    </row>
    <row r="340" spans="3:6" ht="28.55" customHeight="1">
      <c r="C340" s="26"/>
      <c r="D340" s="27"/>
      <c r="F340" s="25"/>
    </row>
    <row r="341" spans="3:6" ht="28.55" customHeight="1">
      <c r="C341" s="26"/>
      <c r="D341" s="27"/>
      <c r="F341" s="25"/>
    </row>
    <row r="342" spans="3:6" ht="28.55" customHeight="1">
      <c r="C342" s="26"/>
      <c r="D342" s="27"/>
      <c r="F342" s="25"/>
    </row>
    <row r="343" spans="3:6" ht="28.55" customHeight="1">
      <c r="C343" s="26"/>
      <c r="D343" s="27"/>
      <c r="F343" s="25"/>
    </row>
    <row r="344" spans="3:6" ht="28.55" customHeight="1">
      <c r="C344" s="26"/>
      <c r="D344" s="27"/>
      <c r="F344" s="25"/>
    </row>
    <row r="345" spans="3:6" ht="28.55" customHeight="1">
      <c r="C345" s="26"/>
      <c r="D345" s="27"/>
      <c r="F345" s="25"/>
    </row>
    <row r="346" spans="3:6" ht="28.55" customHeight="1">
      <c r="C346" s="26"/>
      <c r="D346" s="27"/>
      <c r="F346" s="25"/>
    </row>
    <row r="347" spans="3:6" ht="28.55" customHeight="1">
      <c r="C347" s="26"/>
      <c r="D347" s="27"/>
      <c r="F347" s="25"/>
    </row>
    <row r="348" spans="3:6" ht="28.55" customHeight="1">
      <c r="C348" s="26"/>
      <c r="D348" s="27"/>
      <c r="F348" s="25"/>
    </row>
    <row r="349" spans="3:6" ht="28.55" customHeight="1">
      <c r="C349" s="26"/>
      <c r="D349" s="27"/>
      <c r="F349" s="25"/>
    </row>
    <row r="350" spans="3:6" ht="28.55" customHeight="1">
      <c r="C350" s="26"/>
      <c r="D350" s="27"/>
      <c r="F350" s="25"/>
    </row>
    <row r="351" spans="3:6" ht="28.55" customHeight="1">
      <c r="C351" s="26"/>
      <c r="D351" s="27"/>
      <c r="F351" s="25"/>
    </row>
    <row r="352" spans="3:6" ht="28.55" customHeight="1">
      <c r="C352" s="26"/>
      <c r="D352" s="27"/>
      <c r="F352" s="25"/>
    </row>
    <row r="353" spans="3:6" ht="28.55" customHeight="1">
      <c r="C353" s="26"/>
      <c r="D353" s="27"/>
      <c r="F353" s="25"/>
    </row>
    <row r="354" spans="3:6" ht="28.55" customHeight="1">
      <c r="C354" s="26"/>
      <c r="D354" s="27"/>
      <c r="F354" s="25"/>
    </row>
    <row r="355" spans="3:6" ht="28.55" customHeight="1">
      <c r="C355" s="26"/>
      <c r="D355" s="27"/>
      <c r="F355" s="25"/>
    </row>
    <row r="356" spans="3:6" ht="28.55" customHeight="1">
      <c r="C356" s="26"/>
      <c r="D356" s="27"/>
      <c r="F356" s="25"/>
    </row>
    <row r="357" spans="3:6" ht="28.55" customHeight="1">
      <c r="C357" s="26"/>
      <c r="D357" s="27"/>
      <c r="F357" s="25"/>
    </row>
    <row r="358" spans="3:6" ht="28.55" customHeight="1">
      <c r="C358" s="26"/>
      <c r="D358" s="27"/>
      <c r="F358" s="25"/>
    </row>
    <row r="359" spans="3:6" ht="28.55" customHeight="1">
      <c r="C359" s="26"/>
      <c r="D359" s="27"/>
      <c r="F359" s="25"/>
    </row>
    <row r="360" spans="3:6" ht="28.55" customHeight="1">
      <c r="C360" s="26"/>
      <c r="D360" s="27"/>
      <c r="F360" s="25"/>
    </row>
    <row r="361" spans="3:6" ht="28.55" customHeight="1">
      <c r="C361" s="26"/>
      <c r="D361" s="27"/>
      <c r="F361" s="25"/>
    </row>
    <row r="362" spans="3:6" ht="28.55" customHeight="1">
      <c r="C362" s="26"/>
      <c r="D362" s="27"/>
      <c r="F362" s="25"/>
    </row>
    <row r="363" spans="3:6" ht="28.55" customHeight="1">
      <c r="C363" s="26"/>
      <c r="D363" s="27"/>
      <c r="F363" s="25"/>
    </row>
    <row r="364" spans="3:6" ht="28.55" customHeight="1">
      <c r="C364" s="26"/>
      <c r="D364" s="27"/>
      <c r="F364" s="25"/>
    </row>
    <row r="365" spans="3:6" ht="28.55" customHeight="1">
      <c r="C365" s="26"/>
      <c r="D365" s="27"/>
      <c r="F365" s="25"/>
    </row>
    <row r="366" spans="3:6" ht="28.55" customHeight="1">
      <c r="C366" s="26"/>
      <c r="D366" s="27"/>
      <c r="F366" s="25"/>
    </row>
    <row r="367" spans="3:6" ht="28.55" customHeight="1">
      <c r="C367" s="26"/>
      <c r="D367" s="27"/>
      <c r="F367" s="25"/>
    </row>
    <row r="368" spans="3:6" ht="28.55" customHeight="1">
      <c r="C368" s="26"/>
      <c r="D368" s="27"/>
      <c r="F368" s="25"/>
    </row>
    <row r="369" spans="3:6" ht="28.55" customHeight="1">
      <c r="C369" s="26"/>
      <c r="D369" s="27"/>
      <c r="F369" s="25"/>
    </row>
    <row r="370" spans="3:6" ht="28.55" customHeight="1">
      <c r="C370" s="26"/>
      <c r="D370" s="27"/>
      <c r="F370" s="25"/>
    </row>
    <row r="371" spans="3:6" ht="28.55" customHeight="1">
      <c r="C371" s="26"/>
      <c r="D371" s="27"/>
      <c r="F371" s="25"/>
    </row>
    <row r="372" spans="3:6" ht="28.55" customHeight="1">
      <c r="C372" s="26"/>
      <c r="D372" s="27"/>
      <c r="F372" s="25"/>
    </row>
    <row r="373" spans="3:6" ht="28.55" customHeight="1">
      <c r="C373" s="26"/>
      <c r="D373" s="27"/>
      <c r="F373" s="25"/>
    </row>
    <row r="374" spans="3:6" ht="28.55" customHeight="1">
      <c r="C374" s="26"/>
      <c r="D374" s="27"/>
      <c r="F374" s="25"/>
    </row>
    <row r="375" spans="3:6" ht="28.55" customHeight="1">
      <c r="C375" s="26"/>
      <c r="D375" s="27"/>
      <c r="F375" s="25"/>
    </row>
    <row r="376" spans="3:6" ht="28.55" customHeight="1">
      <c r="C376" s="26"/>
      <c r="D376" s="27"/>
      <c r="F376" s="25"/>
    </row>
    <row r="377" spans="3:6" ht="28.55" customHeight="1">
      <c r="C377" s="26"/>
      <c r="D377" s="27"/>
      <c r="F377" s="25"/>
    </row>
    <row r="378" spans="3:6" ht="28.55" customHeight="1">
      <c r="C378" s="26"/>
      <c r="D378" s="27"/>
      <c r="F378" s="25"/>
    </row>
    <row r="379" spans="3:6" ht="28.55" customHeight="1">
      <c r="C379" s="26"/>
      <c r="D379" s="27"/>
      <c r="F379" s="25"/>
    </row>
    <row r="380" spans="3:6" ht="28.55" customHeight="1">
      <c r="C380" s="26"/>
      <c r="D380" s="27"/>
      <c r="F380" s="25"/>
    </row>
    <row r="381" spans="3:6" ht="28.55" customHeight="1">
      <c r="C381" s="26"/>
      <c r="D381" s="27"/>
      <c r="F381" s="25"/>
    </row>
    <row r="382" spans="3:6" ht="28.55" customHeight="1">
      <c r="C382" s="26"/>
      <c r="D382" s="27"/>
      <c r="F382" s="25"/>
    </row>
    <row r="383" spans="3:6" ht="28.55" customHeight="1">
      <c r="C383" s="26"/>
      <c r="D383" s="27"/>
      <c r="F383" s="25"/>
    </row>
    <row r="384" spans="3:6" ht="28.55" customHeight="1">
      <c r="C384" s="26"/>
      <c r="D384" s="27"/>
      <c r="F384" s="25"/>
    </row>
    <row r="385" spans="3:6" ht="28.55" customHeight="1">
      <c r="C385" s="26"/>
      <c r="D385" s="27"/>
      <c r="F385" s="25"/>
    </row>
    <row r="386" spans="3:6" ht="28.55" customHeight="1">
      <c r="C386" s="26"/>
      <c r="D386" s="27"/>
      <c r="F386" s="25"/>
    </row>
    <row r="387" spans="3:6" ht="28.55" customHeight="1">
      <c r="C387" s="26"/>
      <c r="D387" s="27"/>
      <c r="F387" s="25"/>
    </row>
    <row r="388" spans="3:6" ht="28.55" customHeight="1">
      <c r="C388" s="26"/>
      <c r="D388" s="27"/>
      <c r="F388" s="25"/>
    </row>
    <row r="389" spans="3:6" ht="28.55" customHeight="1">
      <c r="C389" s="26"/>
      <c r="D389" s="27"/>
      <c r="F389" s="25"/>
    </row>
    <row r="390" spans="3:6" ht="28.55" customHeight="1">
      <c r="C390" s="26"/>
      <c r="D390" s="27"/>
      <c r="F390" s="25"/>
    </row>
    <row r="391" spans="3:6" ht="28.55" customHeight="1">
      <c r="C391" s="26"/>
      <c r="D391" s="27"/>
      <c r="F391" s="25"/>
    </row>
    <row r="392" spans="3:6" ht="28.55" customHeight="1">
      <c r="C392" s="26"/>
      <c r="D392" s="27"/>
      <c r="F392" s="25"/>
    </row>
    <row r="393" spans="3:6" ht="28.55" customHeight="1">
      <c r="C393" s="26"/>
      <c r="D393" s="27"/>
      <c r="F393" s="25"/>
    </row>
    <row r="394" spans="3:6" ht="28.55" customHeight="1">
      <c r="C394" s="26"/>
      <c r="D394" s="27"/>
      <c r="F394" s="25"/>
    </row>
    <row r="395" spans="3:6" ht="28.55" customHeight="1">
      <c r="C395" s="26"/>
      <c r="D395" s="27"/>
      <c r="F395" s="25"/>
    </row>
    <row r="396" spans="3:6" ht="28.55" customHeight="1">
      <c r="C396" s="26"/>
      <c r="D396" s="27"/>
      <c r="F396" s="25"/>
    </row>
    <row r="397" spans="3:6" ht="28.55" customHeight="1">
      <c r="C397" s="26"/>
      <c r="D397" s="27"/>
      <c r="F397" s="25"/>
    </row>
    <row r="398" spans="3:6" ht="28.55" customHeight="1">
      <c r="C398" s="26"/>
      <c r="D398" s="27"/>
      <c r="F398" s="25"/>
    </row>
    <row r="399" spans="3:6" ht="28.55" customHeight="1">
      <c r="C399" s="26"/>
      <c r="D399" s="27"/>
      <c r="F399" s="25"/>
    </row>
    <row r="400" spans="3:6" ht="28.55" customHeight="1">
      <c r="C400" s="26"/>
      <c r="D400" s="27"/>
      <c r="F400" s="25"/>
    </row>
    <row r="401" spans="3:6" ht="28.55" customHeight="1">
      <c r="C401" s="26"/>
      <c r="D401" s="27"/>
      <c r="F401" s="25"/>
    </row>
    <row r="402" spans="3:6" ht="28.55" customHeight="1">
      <c r="C402" s="26"/>
      <c r="D402" s="27"/>
      <c r="F402" s="25"/>
    </row>
    <row r="403" spans="3:6" ht="28.55" customHeight="1">
      <c r="C403" s="26"/>
      <c r="D403" s="27"/>
      <c r="F403" s="25"/>
    </row>
    <row r="404" spans="3:6" ht="28.55" customHeight="1">
      <c r="C404" s="26"/>
      <c r="D404" s="27"/>
      <c r="F404" s="25"/>
    </row>
    <row r="405" spans="3:6" ht="28.55" customHeight="1">
      <c r="C405" s="26"/>
      <c r="D405" s="27"/>
      <c r="F405" s="25"/>
    </row>
    <row r="406" spans="3:6" ht="28.55" customHeight="1">
      <c r="C406" s="26"/>
      <c r="D406" s="27"/>
      <c r="F406" s="25"/>
    </row>
    <row r="407" spans="3:6" ht="28.55" customHeight="1">
      <c r="C407" s="26"/>
      <c r="D407" s="27"/>
      <c r="F407" s="25"/>
    </row>
    <row r="408" spans="3:6" ht="28.55" customHeight="1">
      <c r="C408" s="26"/>
      <c r="D408" s="27"/>
      <c r="F408" s="25"/>
    </row>
    <row r="409" spans="3:6" ht="28.55" customHeight="1">
      <c r="C409" s="26"/>
      <c r="D409" s="27"/>
      <c r="F409" s="25"/>
    </row>
    <row r="410" spans="3:6" ht="28.55" customHeight="1">
      <c r="C410" s="26"/>
      <c r="D410" s="27"/>
      <c r="F410" s="25"/>
    </row>
    <row r="411" spans="3:6" ht="28.55" customHeight="1">
      <c r="C411" s="26"/>
      <c r="D411" s="27"/>
      <c r="F411" s="25"/>
    </row>
    <row r="412" spans="3:6" ht="28.55" customHeight="1">
      <c r="C412" s="26"/>
      <c r="D412" s="27"/>
      <c r="F412" s="25"/>
    </row>
    <row r="413" spans="3:6" ht="28.55" customHeight="1">
      <c r="C413" s="26"/>
      <c r="D413" s="27"/>
      <c r="F413" s="25"/>
    </row>
    <row r="414" spans="3:6" ht="28.55" customHeight="1">
      <c r="C414" s="26"/>
      <c r="D414" s="27"/>
      <c r="F414" s="25"/>
    </row>
    <row r="415" spans="3:6" ht="28.55" customHeight="1">
      <c r="C415" s="26"/>
      <c r="D415" s="27"/>
      <c r="F415" s="25"/>
    </row>
    <row r="416" spans="3:6" ht="28.55" customHeight="1">
      <c r="C416" s="26"/>
      <c r="D416" s="27"/>
      <c r="F416" s="25"/>
    </row>
    <row r="417" spans="3:6" ht="28.55" customHeight="1">
      <c r="C417" s="26"/>
      <c r="D417" s="27"/>
      <c r="F417" s="25"/>
    </row>
    <row r="418" spans="3:6" ht="28.55" customHeight="1">
      <c r="C418" s="26"/>
      <c r="D418" s="27"/>
      <c r="F418" s="25"/>
    </row>
    <row r="419" spans="3:6" ht="28.55" customHeight="1">
      <c r="C419" s="26"/>
      <c r="D419" s="27"/>
      <c r="F419" s="25"/>
    </row>
    <row r="420" spans="3:6" ht="28.55" customHeight="1">
      <c r="C420" s="26"/>
      <c r="D420" s="27"/>
      <c r="F420" s="25"/>
    </row>
    <row r="421" spans="3:6" ht="28.55" customHeight="1">
      <c r="C421" s="26"/>
      <c r="D421" s="27"/>
      <c r="F421" s="25"/>
    </row>
    <row r="422" spans="3:6" ht="28.55" customHeight="1">
      <c r="C422" s="26"/>
      <c r="D422" s="27"/>
      <c r="F422" s="25"/>
    </row>
    <row r="423" spans="3:6" ht="28.55" customHeight="1">
      <c r="C423" s="26"/>
      <c r="D423" s="27"/>
      <c r="F423" s="25"/>
    </row>
    <row r="424" spans="3:6" ht="28.55" customHeight="1">
      <c r="C424" s="26"/>
      <c r="D424" s="27"/>
      <c r="F424" s="25"/>
    </row>
    <row r="425" spans="3:6" ht="28.55" customHeight="1">
      <c r="C425" s="26"/>
      <c r="D425" s="27"/>
      <c r="F425" s="25"/>
    </row>
    <row r="426" spans="3:6" ht="28.55" customHeight="1">
      <c r="C426" s="26"/>
      <c r="D426" s="27"/>
      <c r="F426" s="25"/>
    </row>
    <row r="427" spans="3:6" ht="28.55" customHeight="1">
      <c r="C427" s="26"/>
      <c r="D427" s="27"/>
      <c r="F427" s="25"/>
    </row>
    <row r="428" spans="3:6" ht="28.55" customHeight="1">
      <c r="C428" s="26"/>
      <c r="D428" s="27"/>
      <c r="F428" s="25"/>
    </row>
    <row r="429" spans="3:6" ht="28.55" customHeight="1">
      <c r="C429" s="26"/>
      <c r="D429" s="27"/>
      <c r="F429" s="25"/>
    </row>
    <row r="430" spans="3:6" ht="28.55" customHeight="1">
      <c r="C430" s="26"/>
      <c r="D430" s="27"/>
      <c r="F430" s="25"/>
    </row>
    <row r="431" spans="3:6" ht="28.55" customHeight="1">
      <c r="C431" s="26"/>
      <c r="D431" s="27"/>
      <c r="F431" s="25"/>
    </row>
    <row r="432" spans="3:6" ht="28.55" customHeight="1">
      <c r="C432" s="26"/>
      <c r="D432" s="27"/>
      <c r="F432" s="25"/>
    </row>
    <row r="433" spans="3:6" ht="28.55" customHeight="1">
      <c r="C433" s="26"/>
      <c r="D433" s="27"/>
      <c r="F433" s="25"/>
    </row>
    <row r="434" spans="3:6" ht="28.55" customHeight="1">
      <c r="C434" s="26"/>
      <c r="D434" s="27"/>
      <c r="F434" s="25"/>
    </row>
    <row r="435" spans="3:6" ht="28.55" customHeight="1">
      <c r="C435" s="26"/>
      <c r="D435" s="27"/>
      <c r="F435" s="25"/>
    </row>
    <row r="436" spans="3:6" ht="28.55" customHeight="1">
      <c r="C436" s="26"/>
      <c r="D436" s="27"/>
      <c r="F436" s="25"/>
    </row>
    <row r="437" spans="3:6" ht="28.55" customHeight="1">
      <c r="C437" s="26"/>
      <c r="D437" s="27"/>
      <c r="F437" s="25"/>
    </row>
    <row r="438" spans="3:6" ht="28.55" customHeight="1">
      <c r="C438" s="26"/>
      <c r="D438" s="27"/>
      <c r="F438" s="25"/>
    </row>
    <row r="439" spans="3:6" ht="28.55" customHeight="1">
      <c r="C439" s="26"/>
      <c r="D439" s="27"/>
      <c r="F439" s="25"/>
    </row>
    <row r="440" spans="3:6" ht="28.55" customHeight="1">
      <c r="C440" s="26"/>
      <c r="D440" s="27"/>
      <c r="F440" s="25"/>
    </row>
    <row r="441" spans="3:6" ht="28.55" customHeight="1">
      <c r="C441" s="26"/>
      <c r="D441" s="27"/>
      <c r="F441" s="25"/>
    </row>
    <row r="442" spans="3:6" ht="28.55" customHeight="1">
      <c r="C442" s="26"/>
      <c r="D442" s="27"/>
      <c r="F442" s="25"/>
    </row>
    <row r="443" spans="3:6" ht="28.55" customHeight="1">
      <c r="C443" s="26"/>
      <c r="D443" s="27"/>
      <c r="F443" s="25"/>
    </row>
    <row r="444" spans="3:6" ht="28.55" customHeight="1">
      <c r="C444" s="26"/>
      <c r="D444" s="27"/>
      <c r="F444" s="25"/>
    </row>
    <row r="445" spans="3:6" ht="28.55" customHeight="1">
      <c r="C445" s="26"/>
      <c r="D445" s="27"/>
      <c r="F445" s="25"/>
    </row>
    <row r="446" spans="3:6" ht="28.55" customHeight="1">
      <c r="C446" s="26"/>
      <c r="D446" s="27"/>
      <c r="F446" s="25"/>
    </row>
    <row r="447" spans="3:6" ht="28.55" customHeight="1">
      <c r="C447" s="26"/>
      <c r="D447" s="27"/>
      <c r="F447" s="25"/>
    </row>
    <row r="448" spans="3:6" ht="28.55" customHeight="1">
      <c r="C448" s="26"/>
      <c r="D448" s="27"/>
      <c r="F448" s="25"/>
    </row>
    <row r="449" spans="3:6" ht="28.55" customHeight="1">
      <c r="C449" s="26"/>
      <c r="D449" s="27"/>
      <c r="F449" s="25"/>
    </row>
    <row r="450" spans="3:6" ht="28.55" customHeight="1">
      <c r="C450" s="26"/>
      <c r="D450" s="27"/>
      <c r="F450" s="25"/>
    </row>
    <row r="451" spans="3:6" ht="28.55" customHeight="1">
      <c r="C451" s="26"/>
      <c r="D451" s="27"/>
      <c r="F451" s="25"/>
    </row>
    <row r="452" spans="3:6" ht="28.55" customHeight="1">
      <c r="C452" s="26"/>
      <c r="D452" s="27"/>
      <c r="F452" s="25"/>
    </row>
    <row r="453" spans="3:6" ht="28.55" customHeight="1">
      <c r="C453" s="26"/>
      <c r="D453" s="27"/>
      <c r="F453" s="25"/>
    </row>
    <row r="454" spans="3:6" ht="28.55" customHeight="1">
      <c r="C454" s="26"/>
      <c r="D454" s="27"/>
      <c r="F454" s="25"/>
    </row>
    <row r="455" spans="3:6" ht="28.55" customHeight="1">
      <c r="C455" s="26"/>
      <c r="D455" s="27"/>
      <c r="F455" s="25"/>
    </row>
    <row r="456" spans="3:6" ht="28.55" customHeight="1">
      <c r="C456" s="26"/>
      <c r="D456" s="27"/>
      <c r="F456" s="25"/>
    </row>
    <row r="457" spans="3:6" ht="28.55" customHeight="1">
      <c r="C457" s="26"/>
      <c r="D457" s="27"/>
      <c r="F457" s="25"/>
    </row>
    <row r="458" spans="3:6" ht="28.55" customHeight="1">
      <c r="C458" s="26"/>
      <c r="D458" s="27"/>
      <c r="F458" s="25"/>
    </row>
    <row r="459" spans="3:6" ht="28.55" customHeight="1">
      <c r="C459" s="26"/>
      <c r="D459" s="27"/>
      <c r="F459" s="25"/>
    </row>
    <row r="460" spans="3:6" ht="28.55" customHeight="1">
      <c r="C460" s="26"/>
      <c r="D460" s="27"/>
      <c r="F460" s="25"/>
    </row>
    <row r="461" spans="3:6" ht="28.55" customHeight="1">
      <c r="C461" s="26"/>
      <c r="D461" s="27"/>
      <c r="F461" s="25"/>
    </row>
    <row r="462" spans="3:6" ht="28.55" customHeight="1">
      <c r="C462" s="26"/>
      <c r="D462" s="27"/>
      <c r="F462" s="25"/>
    </row>
    <row r="463" spans="3:6" ht="28.55" customHeight="1">
      <c r="C463" s="26"/>
      <c r="D463" s="27"/>
      <c r="F463" s="25"/>
    </row>
    <row r="464" spans="3:6" ht="28.55" customHeight="1">
      <c r="C464" s="26"/>
      <c r="D464" s="27"/>
      <c r="F464" s="25"/>
    </row>
    <row r="465" spans="3:6" ht="28.55" customHeight="1">
      <c r="C465" s="26"/>
      <c r="D465" s="27"/>
      <c r="F465" s="25"/>
    </row>
    <row r="466" spans="3:6" ht="28.55" customHeight="1">
      <c r="C466" s="26"/>
      <c r="D466" s="27"/>
      <c r="F466" s="25"/>
    </row>
    <row r="467" spans="3:6" ht="28.55" customHeight="1">
      <c r="C467" s="26"/>
      <c r="D467" s="27"/>
      <c r="F467" s="25"/>
    </row>
    <row r="468" spans="3:6" ht="28.55" customHeight="1">
      <c r="C468" s="26"/>
      <c r="D468" s="27"/>
      <c r="F468" s="25"/>
    </row>
    <row r="469" spans="3:6" ht="28.55" customHeight="1">
      <c r="C469" s="26"/>
      <c r="D469" s="27"/>
      <c r="F469" s="25"/>
    </row>
    <row r="470" spans="3:6" ht="28.55" customHeight="1">
      <c r="C470" s="26"/>
      <c r="D470" s="27"/>
      <c r="F470" s="25"/>
    </row>
    <row r="471" spans="3:6" ht="28.55" customHeight="1">
      <c r="C471" s="26"/>
      <c r="D471" s="27"/>
      <c r="F471" s="25"/>
    </row>
    <row r="472" spans="3:6" ht="28.55" customHeight="1">
      <c r="C472" s="26"/>
      <c r="D472" s="27"/>
      <c r="F472" s="25"/>
    </row>
    <row r="473" spans="3:6" ht="28.55" customHeight="1">
      <c r="C473" s="26"/>
      <c r="D473" s="27"/>
      <c r="F473" s="25"/>
    </row>
    <row r="474" spans="3:6" ht="28.55" customHeight="1">
      <c r="C474" s="26"/>
      <c r="D474" s="27"/>
      <c r="F474" s="25"/>
    </row>
    <row r="475" spans="3:6" ht="28.55" customHeight="1">
      <c r="C475" s="26"/>
      <c r="D475" s="27"/>
      <c r="F475" s="25"/>
    </row>
    <row r="476" spans="3:6" ht="28.55" customHeight="1">
      <c r="C476" s="26"/>
      <c r="D476" s="27"/>
      <c r="F476" s="25"/>
    </row>
    <row r="477" spans="3:6" ht="28.55" customHeight="1">
      <c r="C477" s="26"/>
      <c r="D477" s="27"/>
      <c r="F477" s="25"/>
    </row>
    <row r="478" spans="3:6" ht="28.55" customHeight="1">
      <c r="C478" s="26"/>
      <c r="D478" s="27"/>
      <c r="F478" s="25"/>
    </row>
    <row r="479" spans="3:6" ht="28.55" customHeight="1">
      <c r="C479" s="26"/>
      <c r="D479" s="27"/>
      <c r="F479" s="25"/>
    </row>
    <row r="480" spans="3:6" ht="28.55" customHeight="1">
      <c r="C480" s="26"/>
      <c r="D480" s="27"/>
      <c r="F480" s="25"/>
    </row>
    <row r="481" spans="3:6" ht="28.55" customHeight="1">
      <c r="C481" s="26"/>
      <c r="D481" s="27"/>
      <c r="F481" s="25"/>
    </row>
    <row r="482" spans="3:6" ht="28.55" customHeight="1">
      <c r="C482" s="26"/>
      <c r="D482" s="27"/>
      <c r="F482" s="25"/>
    </row>
    <row r="483" spans="3:6" ht="28.55" customHeight="1">
      <c r="C483" s="26"/>
      <c r="D483" s="27"/>
      <c r="F483" s="25"/>
    </row>
    <row r="484" spans="3:6" ht="28.55" customHeight="1">
      <c r="C484" s="26"/>
      <c r="D484" s="27"/>
      <c r="F484" s="25"/>
    </row>
    <row r="485" spans="3:6" ht="28.55" customHeight="1">
      <c r="C485" s="26"/>
      <c r="D485" s="27"/>
      <c r="F485" s="25"/>
    </row>
    <row r="486" spans="3:6" ht="28.55" customHeight="1">
      <c r="C486" s="26"/>
      <c r="D486" s="27"/>
      <c r="F486" s="25"/>
    </row>
    <row r="487" spans="3:6" ht="28.55" customHeight="1">
      <c r="C487" s="26"/>
      <c r="D487" s="27"/>
      <c r="F487" s="25"/>
    </row>
    <row r="488" spans="3:6" ht="28.55" customHeight="1">
      <c r="C488" s="26"/>
      <c r="D488" s="27"/>
      <c r="F488" s="25"/>
    </row>
    <row r="489" spans="3:6" ht="28.55" customHeight="1">
      <c r="C489" s="26"/>
      <c r="D489" s="27"/>
      <c r="F489" s="25"/>
    </row>
    <row r="490" spans="3:6" ht="28.55" customHeight="1">
      <c r="C490" s="26"/>
      <c r="D490" s="27"/>
      <c r="F490" s="25"/>
    </row>
    <row r="491" spans="3:6" ht="28.55" customHeight="1">
      <c r="C491" s="26"/>
      <c r="D491" s="27"/>
      <c r="F491" s="25"/>
    </row>
    <row r="492" spans="3:6" ht="28.55" customHeight="1">
      <c r="C492" s="26"/>
      <c r="D492" s="27"/>
      <c r="F492" s="25"/>
    </row>
    <row r="493" spans="3:6" ht="28.55" customHeight="1">
      <c r="C493" s="26"/>
      <c r="D493" s="27"/>
      <c r="F493" s="25"/>
    </row>
    <row r="494" spans="3:6" ht="28.55" customHeight="1">
      <c r="C494" s="26"/>
      <c r="D494" s="27"/>
      <c r="F494" s="25"/>
    </row>
    <row r="495" spans="3:6" ht="28.55" customHeight="1">
      <c r="C495" s="26"/>
      <c r="D495" s="27"/>
      <c r="F495" s="25"/>
    </row>
    <row r="496" spans="3:6" ht="28.55" customHeight="1">
      <c r="C496" s="26"/>
      <c r="D496" s="27"/>
      <c r="F496" s="25"/>
    </row>
    <row r="497" spans="3:6" ht="28.55" customHeight="1">
      <c r="C497" s="26"/>
      <c r="D497" s="27"/>
      <c r="F497" s="25"/>
    </row>
    <row r="498" spans="3:6" ht="28.55" customHeight="1">
      <c r="C498" s="26"/>
      <c r="D498" s="27"/>
      <c r="F498" s="25"/>
    </row>
    <row r="499" spans="3:6" ht="28.55" customHeight="1">
      <c r="C499" s="26"/>
      <c r="D499" s="27"/>
      <c r="F499" s="25"/>
    </row>
    <row r="500" spans="3:6" ht="28.55" customHeight="1">
      <c r="C500" s="26"/>
      <c r="D500" s="27"/>
      <c r="F500" s="25"/>
    </row>
    <row r="501" spans="3:6" ht="28.55" customHeight="1">
      <c r="C501" s="26"/>
      <c r="D501" s="27"/>
      <c r="F501" s="25"/>
    </row>
    <row r="502" spans="3:6" ht="28.55" customHeight="1">
      <c r="C502" s="26"/>
      <c r="D502" s="27"/>
      <c r="F502" s="25"/>
    </row>
    <row r="503" spans="3:6" ht="28.55" customHeight="1">
      <c r="C503" s="26"/>
      <c r="D503" s="27"/>
      <c r="F503" s="25"/>
    </row>
    <row r="504" spans="3:6" ht="28.55" customHeight="1">
      <c r="C504" s="26"/>
      <c r="D504" s="27"/>
      <c r="F504" s="25"/>
    </row>
    <row r="505" spans="3:6" ht="28.55" customHeight="1">
      <c r="C505" s="26"/>
      <c r="D505" s="27"/>
      <c r="F505" s="25"/>
    </row>
    <row r="506" spans="3:6" ht="28.55" customHeight="1">
      <c r="C506" s="26"/>
      <c r="D506" s="27"/>
      <c r="F506" s="25"/>
    </row>
    <row r="507" spans="3:6" ht="28.55" customHeight="1">
      <c r="C507" s="26"/>
      <c r="D507" s="27"/>
      <c r="F507" s="25"/>
    </row>
    <row r="508" spans="3:6" ht="28.55" customHeight="1">
      <c r="C508" s="26"/>
      <c r="D508" s="27"/>
      <c r="F508" s="25"/>
    </row>
    <row r="509" spans="3:6" ht="28.55" customHeight="1">
      <c r="C509" s="26"/>
      <c r="D509" s="27"/>
      <c r="F509" s="25"/>
    </row>
    <row r="510" spans="3:6" ht="28.55" customHeight="1">
      <c r="C510" s="26"/>
      <c r="D510" s="27"/>
      <c r="F510" s="25"/>
    </row>
    <row r="511" spans="3:6" ht="28.55" customHeight="1">
      <c r="C511" s="26"/>
      <c r="D511" s="27"/>
      <c r="F511" s="25"/>
    </row>
    <row r="512" spans="3:6" ht="28.55" customHeight="1">
      <c r="C512" s="26"/>
      <c r="D512" s="27"/>
      <c r="F512" s="25"/>
    </row>
    <row r="513" spans="3:6" ht="28.55" customHeight="1">
      <c r="C513" s="26"/>
      <c r="D513" s="27"/>
      <c r="F513" s="25"/>
    </row>
    <row r="514" spans="3:6" ht="28.55" customHeight="1">
      <c r="C514" s="26"/>
      <c r="D514" s="27"/>
      <c r="F514" s="25"/>
    </row>
    <row r="515" spans="3:6" ht="28.55" customHeight="1">
      <c r="C515" s="26"/>
      <c r="D515" s="27"/>
      <c r="F515" s="25"/>
    </row>
    <row r="516" spans="3:6" ht="28.55" customHeight="1">
      <c r="C516" s="26"/>
      <c r="D516" s="27"/>
      <c r="F516" s="25"/>
    </row>
    <row r="517" spans="3:6" ht="28.55" customHeight="1">
      <c r="C517" s="26"/>
      <c r="D517" s="27"/>
      <c r="F517" s="25"/>
    </row>
    <row r="518" spans="3:6" ht="28.55" customHeight="1">
      <c r="C518" s="26"/>
      <c r="D518" s="27"/>
      <c r="F518" s="25"/>
    </row>
    <row r="519" spans="3:6" ht="28.55" customHeight="1">
      <c r="C519" s="26"/>
      <c r="D519" s="27"/>
      <c r="F519" s="25"/>
    </row>
    <row r="520" spans="3:6" ht="28.55" customHeight="1">
      <c r="C520" s="26"/>
      <c r="D520" s="27"/>
      <c r="F520" s="25"/>
    </row>
    <row r="521" spans="3:6" ht="28.55" customHeight="1">
      <c r="C521" s="26"/>
      <c r="D521" s="27"/>
      <c r="F521" s="25"/>
    </row>
    <row r="522" spans="3:6" ht="28.55" customHeight="1">
      <c r="C522" s="26"/>
      <c r="D522" s="27"/>
      <c r="F522" s="25"/>
    </row>
    <row r="523" spans="3:6" ht="28.55" customHeight="1">
      <c r="C523" s="26"/>
      <c r="D523" s="27"/>
      <c r="F523" s="25"/>
    </row>
    <row r="524" spans="3:6" ht="28.55" customHeight="1">
      <c r="C524" s="26"/>
      <c r="D524" s="27"/>
      <c r="F524" s="25"/>
    </row>
    <row r="525" spans="3:6" ht="28.55" customHeight="1">
      <c r="C525" s="26"/>
      <c r="D525" s="27"/>
      <c r="F525" s="25"/>
    </row>
    <row r="526" spans="3:6" ht="28.55" customHeight="1">
      <c r="C526" s="26"/>
      <c r="D526" s="27"/>
      <c r="F526" s="25"/>
    </row>
    <row r="527" spans="3:6" ht="28.55" customHeight="1">
      <c r="C527" s="26"/>
      <c r="D527" s="27"/>
      <c r="F527" s="25"/>
    </row>
    <row r="528" spans="3:6" ht="28.55" customHeight="1">
      <c r="C528" s="26"/>
      <c r="D528" s="27"/>
      <c r="F528" s="25"/>
    </row>
    <row r="529" spans="3:6" ht="28.55" customHeight="1">
      <c r="C529" s="26"/>
      <c r="D529" s="27"/>
      <c r="F529" s="25"/>
    </row>
    <row r="530" spans="3:6" ht="28.55" customHeight="1">
      <c r="C530" s="26"/>
      <c r="D530" s="27"/>
      <c r="F530" s="25"/>
    </row>
    <row r="531" spans="3:6" ht="28.55" customHeight="1">
      <c r="C531" s="26"/>
      <c r="D531" s="27"/>
      <c r="F531" s="25"/>
    </row>
    <row r="532" spans="3:6" ht="28.55" customHeight="1">
      <c r="C532" s="26"/>
      <c r="D532" s="27"/>
      <c r="F532" s="25"/>
    </row>
    <row r="533" spans="3:6" ht="28.55" customHeight="1">
      <c r="C533" s="26"/>
      <c r="D533" s="27"/>
      <c r="F533" s="25"/>
    </row>
    <row r="534" spans="3:6" ht="28.55" customHeight="1">
      <c r="C534" s="26"/>
      <c r="D534" s="27"/>
      <c r="F534" s="25"/>
    </row>
    <row r="535" spans="3:6" ht="28.55" customHeight="1">
      <c r="C535" s="26"/>
      <c r="D535" s="27"/>
      <c r="F535" s="25"/>
    </row>
    <row r="536" spans="3:6" ht="28.55" customHeight="1">
      <c r="C536" s="26"/>
      <c r="D536" s="27"/>
      <c r="F536" s="25"/>
    </row>
    <row r="537" spans="3:6" ht="28.55" customHeight="1">
      <c r="C537" s="26"/>
      <c r="D537" s="27"/>
      <c r="F537" s="25"/>
    </row>
    <row r="538" spans="3:6" ht="28.55" customHeight="1">
      <c r="C538" s="26"/>
      <c r="D538" s="27"/>
      <c r="F538" s="25"/>
    </row>
    <row r="539" spans="3:6" ht="28.55" customHeight="1">
      <c r="C539" s="26"/>
      <c r="D539" s="27"/>
      <c r="F539" s="25"/>
    </row>
    <row r="540" spans="3:6" ht="28.55" customHeight="1">
      <c r="C540" s="26"/>
      <c r="D540" s="27"/>
      <c r="F540" s="25"/>
    </row>
    <row r="541" spans="3:6" ht="28.55" customHeight="1">
      <c r="C541" s="26"/>
      <c r="D541" s="27"/>
      <c r="F541" s="25"/>
    </row>
    <row r="542" spans="3:6" ht="28.55" customHeight="1">
      <c r="C542" s="26"/>
      <c r="D542" s="27"/>
      <c r="F542" s="25"/>
    </row>
    <row r="543" spans="3:6" ht="28.55" customHeight="1">
      <c r="C543" s="26"/>
      <c r="D543" s="27"/>
      <c r="F543" s="25"/>
    </row>
    <row r="544" spans="3:6" ht="28.55" customHeight="1">
      <c r="C544" s="26"/>
      <c r="D544" s="27"/>
      <c r="F544" s="25"/>
    </row>
    <row r="545" spans="3:6" ht="28.55" customHeight="1">
      <c r="C545" s="26"/>
      <c r="D545" s="27"/>
      <c r="F545" s="25"/>
    </row>
    <row r="546" spans="3:6" ht="28.55" customHeight="1">
      <c r="C546" s="26"/>
      <c r="D546" s="27"/>
      <c r="F546" s="25"/>
    </row>
    <row r="547" spans="3:6" ht="28.55" customHeight="1">
      <c r="C547" s="26"/>
      <c r="D547" s="27"/>
      <c r="F547" s="25"/>
    </row>
    <row r="548" spans="3:6" ht="28.55" customHeight="1">
      <c r="C548" s="26"/>
      <c r="D548" s="27"/>
      <c r="F548" s="25"/>
    </row>
    <row r="549" spans="3:6" ht="28.55" customHeight="1">
      <c r="C549" s="26"/>
      <c r="D549" s="27"/>
      <c r="F549" s="25"/>
    </row>
    <row r="550" spans="3:6" ht="28.55" customHeight="1">
      <c r="C550" s="26"/>
      <c r="D550" s="27"/>
      <c r="F550" s="25"/>
    </row>
    <row r="551" spans="3:6" ht="28.55" customHeight="1">
      <c r="C551" s="26"/>
      <c r="D551" s="27"/>
      <c r="F551" s="25"/>
    </row>
    <row r="552" spans="3:6" ht="28.55" customHeight="1">
      <c r="C552" s="26"/>
      <c r="D552" s="27"/>
      <c r="F552" s="25"/>
    </row>
    <row r="553" spans="3:6" ht="28.55" customHeight="1">
      <c r="C553" s="26"/>
      <c r="D553" s="27"/>
      <c r="F553" s="25"/>
    </row>
    <row r="554" spans="3:6" ht="28.55" customHeight="1">
      <c r="C554" s="26"/>
      <c r="D554" s="27"/>
      <c r="F554" s="25"/>
    </row>
    <row r="555" spans="3:6" ht="28.55" customHeight="1">
      <c r="C555" s="26"/>
      <c r="D555" s="27"/>
      <c r="F555" s="25"/>
    </row>
    <row r="556" spans="3:6" ht="28.55" customHeight="1">
      <c r="C556" s="26"/>
      <c r="D556" s="27"/>
      <c r="F556" s="25"/>
    </row>
    <row r="557" spans="3:6" ht="28.55" customHeight="1">
      <c r="C557" s="26"/>
      <c r="D557" s="27"/>
      <c r="F557" s="25"/>
    </row>
    <row r="558" spans="3:6" ht="28.55" customHeight="1">
      <c r="C558" s="26"/>
      <c r="D558" s="27"/>
      <c r="F558" s="25"/>
    </row>
    <row r="559" spans="3:6" ht="28.55" customHeight="1">
      <c r="C559" s="26"/>
      <c r="D559" s="27"/>
      <c r="F559" s="25"/>
    </row>
    <row r="560" spans="3:6" ht="28.55" customHeight="1">
      <c r="C560" s="26"/>
      <c r="D560" s="27"/>
      <c r="F560" s="25"/>
    </row>
    <row r="561" spans="3:6" ht="28.55" customHeight="1">
      <c r="C561" s="26"/>
      <c r="D561" s="27"/>
      <c r="F561" s="25"/>
    </row>
    <row r="562" spans="3:6" ht="28.55" customHeight="1">
      <c r="C562" s="26"/>
      <c r="D562" s="27"/>
      <c r="F562" s="25"/>
    </row>
    <row r="563" spans="3:6" ht="28.55" customHeight="1">
      <c r="C563" s="26"/>
      <c r="D563" s="27"/>
      <c r="F563" s="25"/>
    </row>
    <row r="564" spans="3:6" ht="28.55" customHeight="1">
      <c r="C564" s="26"/>
      <c r="D564" s="27"/>
      <c r="F564" s="25"/>
    </row>
    <row r="565" spans="3:6" ht="28.55" customHeight="1">
      <c r="C565" s="26"/>
      <c r="D565" s="27"/>
      <c r="F565" s="25"/>
    </row>
    <row r="566" spans="3:6" ht="28.55" customHeight="1">
      <c r="C566" s="26"/>
      <c r="D566" s="27"/>
      <c r="F566" s="25"/>
    </row>
    <row r="567" spans="3:6" ht="28.55" customHeight="1">
      <c r="C567" s="26"/>
      <c r="D567" s="27"/>
      <c r="F567" s="25"/>
    </row>
    <row r="568" spans="3:6" ht="28.55" customHeight="1">
      <c r="C568" s="26"/>
      <c r="D568" s="27"/>
      <c r="F568" s="25"/>
    </row>
    <row r="569" spans="3:6" ht="28.55" customHeight="1">
      <c r="C569" s="26"/>
      <c r="D569" s="27"/>
      <c r="F569" s="25"/>
    </row>
    <row r="570" spans="3:6" ht="28.55" customHeight="1">
      <c r="C570" s="26"/>
      <c r="D570" s="27"/>
      <c r="F570" s="25"/>
    </row>
    <row r="571" spans="3:6" ht="28.55" customHeight="1">
      <c r="C571" s="26"/>
      <c r="D571" s="27"/>
      <c r="F571" s="25"/>
    </row>
    <row r="572" spans="3:6" ht="28.55" customHeight="1">
      <c r="C572" s="26"/>
      <c r="D572" s="27"/>
      <c r="F572" s="25"/>
    </row>
    <row r="573" spans="3:6" ht="28.55" customHeight="1">
      <c r="C573" s="26"/>
      <c r="D573" s="27"/>
      <c r="F573" s="25"/>
    </row>
    <row r="574" spans="3:6" ht="28.55" customHeight="1">
      <c r="C574" s="26"/>
      <c r="D574" s="27"/>
      <c r="F574" s="25"/>
    </row>
    <row r="575" spans="3:6" ht="28.55" customHeight="1">
      <c r="C575" s="26"/>
      <c r="D575" s="27"/>
      <c r="F575" s="25"/>
    </row>
    <row r="576" spans="3:6" ht="28.55" customHeight="1">
      <c r="C576" s="26"/>
      <c r="D576" s="27"/>
      <c r="F576" s="25"/>
    </row>
    <row r="577" spans="3:6" ht="28.55" customHeight="1">
      <c r="C577" s="26"/>
      <c r="D577" s="27"/>
      <c r="F577" s="25"/>
    </row>
    <row r="578" spans="3:6" ht="28.55" customHeight="1">
      <c r="C578" s="26"/>
      <c r="D578" s="27"/>
      <c r="F578" s="25"/>
    </row>
    <row r="579" spans="3:6" ht="28.55" customHeight="1">
      <c r="C579" s="26"/>
      <c r="D579" s="27"/>
      <c r="F579" s="25"/>
    </row>
    <row r="580" spans="3:6" ht="28.55" customHeight="1">
      <c r="C580" s="26"/>
      <c r="D580" s="27"/>
      <c r="F580" s="25"/>
    </row>
    <row r="581" spans="3:6" ht="28.55" customHeight="1">
      <c r="C581" s="26"/>
      <c r="D581" s="27"/>
      <c r="F581" s="25"/>
    </row>
    <row r="582" spans="3:6" ht="28.55" customHeight="1">
      <c r="C582" s="26"/>
      <c r="D582" s="27"/>
      <c r="F582" s="25"/>
    </row>
    <row r="583" spans="3:6" ht="28.55" customHeight="1">
      <c r="C583" s="26"/>
      <c r="D583" s="27"/>
      <c r="F583" s="25"/>
    </row>
    <row r="584" spans="3:6" ht="28.55" customHeight="1">
      <c r="C584" s="26"/>
      <c r="D584" s="27"/>
      <c r="F584" s="25"/>
    </row>
    <row r="585" spans="3:6" ht="28.55" customHeight="1">
      <c r="C585" s="26"/>
      <c r="D585" s="27"/>
      <c r="F585" s="25"/>
    </row>
    <row r="586" spans="3:6" ht="28.55" customHeight="1">
      <c r="C586" s="26"/>
      <c r="D586" s="27"/>
      <c r="F586" s="25"/>
    </row>
    <row r="587" spans="3:6" ht="28.55" customHeight="1">
      <c r="C587" s="26"/>
      <c r="D587" s="27"/>
      <c r="F587" s="25"/>
    </row>
    <row r="588" spans="3:6" ht="28.55" customHeight="1">
      <c r="C588" s="26"/>
      <c r="D588" s="27"/>
      <c r="F588" s="25"/>
    </row>
    <row r="589" spans="3:6" ht="28.55" customHeight="1">
      <c r="C589" s="26"/>
      <c r="D589" s="27"/>
      <c r="F589" s="25"/>
    </row>
    <row r="590" spans="3:6" ht="28.55" customHeight="1">
      <c r="C590" s="26"/>
      <c r="D590" s="27"/>
      <c r="F590" s="25"/>
    </row>
    <row r="591" spans="3:6" ht="28.55" customHeight="1">
      <c r="C591" s="26"/>
      <c r="D591" s="27"/>
      <c r="F591" s="25"/>
    </row>
    <row r="592" spans="3:6" ht="28.55" customHeight="1">
      <c r="C592" s="26"/>
      <c r="D592" s="27"/>
      <c r="F592" s="25"/>
    </row>
    <row r="593" spans="3:6" ht="28.55" customHeight="1">
      <c r="C593" s="26"/>
      <c r="D593" s="27"/>
      <c r="F593" s="25"/>
    </row>
    <row r="594" spans="3:6" ht="28.55" customHeight="1">
      <c r="C594" s="26"/>
      <c r="D594" s="27"/>
      <c r="F594" s="25"/>
    </row>
    <row r="595" spans="3:6" ht="28.55" customHeight="1">
      <c r="C595" s="26"/>
      <c r="D595" s="27"/>
      <c r="F595" s="25"/>
    </row>
    <row r="596" spans="3:6" ht="28.55" customHeight="1">
      <c r="C596" s="26"/>
      <c r="D596" s="27"/>
      <c r="F596" s="25"/>
    </row>
    <row r="597" spans="3:6" ht="28.55" customHeight="1">
      <c r="C597" s="26"/>
      <c r="D597" s="27"/>
      <c r="F597" s="25"/>
    </row>
    <row r="598" spans="3:6" ht="28.55" customHeight="1">
      <c r="C598" s="26"/>
      <c r="D598" s="27"/>
      <c r="F598" s="25"/>
    </row>
    <row r="599" spans="3:6" ht="28.55" customHeight="1">
      <c r="C599" s="26"/>
      <c r="D599" s="27"/>
      <c r="F599" s="25"/>
    </row>
    <row r="600" spans="3:6" ht="28.55" customHeight="1">
      <c r="C600" s="26"/>
      <c r="D600" s="27"/>
      <c r="F600" s="25"/>
    </row>
    <row r="601" spans="3:6" ht="28.55" customHeight="1">
      <c r="C601" s="26"/>
      <c r="D601" s="27"/>
      <c r="F601" s="25"/>
    </row>
    <row r="602" spans="3:6" ht="28.55" customHeight="1">
      <c r="C602" s="26"/>
      <c r="D602" s="27"/>
      <c r="F602" s="25"/>
    </row>
    <row r="603" spans="3:6" ht="28.55" customHeight="1">
      <c r="C603" s="26"/>
      <c r="D603" s="27"/>
      <c r="F603" s="25"/>
    </row>
    <row r="604" spans="3:6" ht="28.55" customHeight="1">
      <c r="C604" s="26"/>
      <c r="D604" s="27"/>
      <c r="F604" s="25"/>
    </row>
    <row r="605" spans="3:6" ht="28.55" customHeight="1">
      <c r="C605" s="26"/>
      <c r="D605" s="27"/>
      <c r="F605" s="25"/>
    </row>
    <row r="606" spans="3:6" ht="28.55" customHeight="1">
      <c r="C606" s="26"/>
      <c r="D606" s="27"/>
      <c r="F606" s="25"/>
    </row>
    <row r="607" spans="3:6" ht="28.55" customHeight="1">
      <c r="C607" s="26"/>
      <c r="D607" s="27"/>
      <c r="F607" s="25"/>
    </row>
    <row r="608" spans="3:6" ht="28.55" customHeight="1">
      <c r="C608" s="26"/>
      <c r="D608" s="27"/>
      <c r="F608" s="25"/>
    </row>
    <row r="609" spans="3:6" ht="28.55" customHeight="1">
      <c r="C609" s="26"/>
      <c r="D609" s="27"/>
      <c r="F609" s="25"/>
    </row>
    <row r="610" spans="3:6" ht="28.55" customHeight="1">
      <c r="C610" s="26"/>
      <c r="D610" s="27"/>
      <c r="F610" s="25"/>
    </row>
    <row r="611" spans="3:6" ht="28.55" customHeight="1">
      <c r="C611" s="26"/>
      <c r="D611" s="27"/>
      <c r="F611" s="25"/>
    </row>
    <row r="612" spans="3:6" ht="28.55" customHeight="1">
      <c r="C612" s="26"/>
      <c r="D612" s="27"/>
      <c r="F612" s="25"/>
    </row>
    <row r="613" spans="3:6" ht="28.55" customHeight="1">
      <c r="C613" s="26"/>
      <c r="D613" s="27"/>
      <c r="F613" s="25"/>
    </row>
    <row r="614" spans="3:6" ht="28.55" customHeight="1">
      <c r="C614" s="26"/>
      <c r="D614" s="27"/>
      <c r="F614" s="25"/>
    </row>
    <row r="615" spans="3:6" ht="28.55" customHeight="1">
      <c r="C615" s="26"/>
      <c r="D615" s="27"/>
      <c r="F615" s="25"/>
    </row>
    <row r="616" spans="3:6" ht="28.55" customHeight="1">
      <c r="C616" s="26"/>
      <c r="D616" s="27"/>
      <c r="F616" s="25"/>
    </row>
    <row r="617" spans="3:6" ht="28.55" customHeight="1">
      <c r="C617" s="26"/>
      <c r="D617" s="27"/>
      <c r="F617" s="25"/>
    </row>
    <row r="618" spans="3:6" ht="28.55" customHeight="1">
      <c r="C618" s="26"/>
      <c r="D618" s="27"/>
      <c r="F618" s="25"/>
    </row>
    <row r="619" spans="3:6" ht="28.55" customHeight="1">
      <c r="C619" s="26"/>
      <c r="D619" s="27"/>
      <c r="F619" s="25"/>
    </row>
    <row r="620" spans="3:6" ht="28.55" customHeight="1">
      <c r="C620" s="26"/>
      <c r="D620" s="27"/>
      <c r="F620" s="25"/>
    </row>
    <row r="621" spans="3:6" ht="28.55" customHeight="1">
      <c r="C621" s="26"/>
      <c r="D621" s="27"/>
      <c r="F621" s="25"/>
    </row>
    <row r="622" spans="3:6" ht="28.55" customHeight="1">
      <c r="C622" s="26"/>
      <c r="D622" s="27"/>
      <c r="F622" s="25"/>
    </row>
    <row r="623" spans="3:6" ht="28.55" customHeight="1">
      <c r="C623" s="26"/>
      <c r="D623" s="27"/>
      <c r="F623" s="25"/>
    </row>
    <row r="624" spans="3:6" ht="28.55" customHeight="1">
      <c r="C624" s="26"/>
      <c r="D624" s="27"/>
      <c r="F624" s="25"/>
    </row>
    <row r="625" spans="3:6" ht="28.55" customHeight="1">
      <c r="C625" s="26"/>
      <c r="D625" s="27"/>
      <c r="F625" s="25"/>
    </row>
    <row r="626" spans="3:6" ht="28.55" customHeight="1">
      <c r="C626" s="26"/>
      <c r="D626" s="27"/>
      <c r="F626" s="25"/>
    </row>
    <row r="627" spans="3:6" ht="28.55" customHeight="1">
      <c r="C627" s="26"/>
      <c r="D627" s="27"/>
      <c r="F627" s="25"/>
    </row>
    <row r="628" spans="3:6" ht="28.55" customHeight="1">
      <c r="C628" s="26"/>
      <c r="D628" s="27"/>
      <c r="F628" s="25"/>
    </row>
    <row r="629" spans="3:6" ht="28.55" customHeight="1">
      <c r="C629" s="26"/>
      <c r="D629" s="27"/>
      <c r="F629" s="25"/>
    </row>
    <row r="630" spans="3:6" ht="28.55" customHeight="1">
      <c r="C630" s="26"/>
      <c r="D630" s="27"/>
      <c r="F630" s="25"/>
    </row>
    <row r="631" spans="3:6" ht="28.55" customHeight="1">
      <c r="C631" s="26"/>
      <c r="D631" s="27"/>
      <c r="F631" s="25"/>
    </row>
    <row r="632" spans="3:6" ht="28.55" customHeight="1">
      <c r="C632" s="26"/>
      <c r="D632" s="27"/>
      <c r="F632" s="25"/>
    </row>
    <row r="633" spans="3:6" ht="28.55" customHeight="1">
      <c r="C633" s="26"/>
      <c r="D633" s="27"/>
      <c r="F633" s="25"/>
    </row>
    <row r="634" spans="3:6" ht="28.55" customHeight="1">
      <c r="C634" s="26"/>
      <c r="D634" s="27"/>
      <c r="F634" s="25"/>
    </row>
    <row r="635" spans="3:6" ht="28.55" customHeight="1">
      <c r="C635" s="26"/>
      <c r="D635" s="27"/>
      <c r="F635" s="25"/>
    </row>
    <row r="636" spans="3:6" ht="28.55" customHeight="1">
      <c r="C636" s="26"/>
      <c r="D636" s="27"/>
      <c r="F636" s="25"/>
    </row>
    <row r="637" spans="3:6" ht="28.55" customHeight="1">
      <c r="C637" s="26"/>
      <c r="D637" s="27"/>
      <c r="F637" s="25"/>
    </row>
    <row r="638" spans="3:6" ht="28.55" customHeight="1">
      <c r="C638" s="26"/>
      <c r="D638" s="27"/>
      <c r="F638" s="25"/>
    </row>
    <row r="639" spans="3:6" ht="28.55" customHeight="1">
      <c r="C639" s="26"/>
      <c r="D639" s="27"/>
      <c r="F639" s="25"/>
    </row>
    <row r="640" spans="3:6" ht="28.55" customHeight="1">
      <c r="C640" s="26"/>
      <c r="D640" s="27"/>
      <c r="F640" s="25"/>
    </row>
    <row r="641" spans="3:6" ht="28.55" customHeight="1">
      <c r="C641" s="26"/>
      <c r="D641" s="27"/>
      <c r="F641" s="25"/>
    </row>
    <row r="642" spans="3:6" ht="28.55" customHeight="1">
      <c r="C642" s="26"/>
      <c r="D642" s="27"/>
      <c r="F642" s="25"/>
    </row>
    <row r="643" spans="3:6" ht="28.55" customHeight="1">
      <c r="C643" s="26"/>
      <c r="D643" s="27"/>
      <c r="F643" s="25"/>
    </row>
    <row r="644" spans="3:6" ht="28.55" customHeight="1">
      <c r="C644" s="26"/>
      <c r="D644" s="27"/>
      <c r="F644" s="25"/>
    </row>
    <row r="645" spans="3:6" ht="28.55" customHeight="1">
      <c r="C645" s="26"/>
      <c r="D645" s="27"/>
      <c r="F645" s="25"/>
    </row>
    <row r="646" spans="3:6" ht="28.55" customHeight="1">
      <c r="C646" s="26"/>
      <c r="D646" s="27"/>
      <c r="F646" s="25"/>
    </row>
    <row r="647" spans="3:6" ht="28.55" customHeight="1">
      <c r="C647" s="26"/>
      <c r="D647" s="27"/>
      <c r="F647" s="25"/>
    </row>
    <row r="648" spans="3:6" ht="28.55" customHeight="1">
      <c r="C648" s="26"/>
      <c r="D648" s="27"/>
      <c r="F648" s="25"/>
    </row>
    <row r="649" spans="3:6" ht="28.55" customHeight="1">
      <c r="C649" s="26"/>
      <c r="D649" s="27"/>
      <c r="F649" s="25"/>
    </row>
    <row r="650" spans="3:6" ht="28.55" customHeight="1">
      <c r="C650" s="26"/>
      <c r="D650" s="27"/>
      <c r="F650" s="25"/>
    </row>
    <row r="651" spans="3:6" ht="28.55" customHeight="1">
      <c r="C651" s="26"/>
      <c r="D651" s="27"/>
      <c r="F651" s="25"/>
    </row>
    <row r="652" spans="3:6" ht="28.55" customHeight="1">
      <c r="C652" s="26"/>
      <c r="D652" s="27"/>
      <c r="F652" s="25"/>
    </row>
    <row r="653" spans="3:6" ht="28.55" customHeight="1">
      <c r="C653" s="26"/>
      <c r="D653" s="27"/>
      <c r="F653" s="25"/>
    </row>
    <row r="654" spans="3:6" ht="28.55" customHeight="1">
      <c r="C654" s="26"/>
      <c r="D654" s="27"/>
      <c r="F654" s="25"/>
    </row>
    <row r="655" spans="3:6" ht="28.55" customHeight="1">
      <c r="C655" s="26"/>
      <c r="D655" s="27"/>
      <c r="F655" s="25"/>
    </row>
    <row r="656" spans="3:6" ht="28.55" customHeight="1">
      <c r="C656" s="26"/>
      <c r="D656" s="27"/>
      <c r="F656" s="25"/>
    </row>
    <row r="657" spans="3:6" ht="28.55" customHeight="1">
      <c r="C657" s="26"/>
      <c r="D657" s="27"/>
      <c r="F657" s="25"/>
    </row>
    <row r="658" spans="3:6" ht="28.55" customHeight="1">
      <c r="C658" s="26"/>
      <c r="D658" s="27"/>
      <c r="F658" s="25"/>
    </row>
    <row r="659" spans="3:6" ht="28.55" customHeight="1">
      <c r="C659" s="26"/>
      <c r="D659" s="27"/>
      <c r="F659" s="25"/>
    </row>
    <row r="660" spans="3:6" ht="28.55" customHeight="1">
      <c r="C660" s="26"/>
      <c r="D660" s="27"/>
      <c r="F660" s="25"/>
    </row>
    <row r="661" spans="3:6" ht="28.55" customHeight="1">
      <c r="C661" s="26"/>
      <c r="D661" s="27"/>
      <c r="F661" s="25"/>
    </row>
    <row r="662" spans="3:6" ht="28.55" customHeight="1">
      <c r="C662" s="26"/>
      <c r="D662" s="27"/>
      <c r="F662" s="25"/>
    </row>
    <row r="663" spans="3:6" ht="28.55" customHeight="1">
      <c r="C663" s="26"/>
      <c r="D663" s="27"/>
      <c r="F663" s="25"/>
    </row>
    <row r="664" spans="3:6" ht="28.55" customHeight="1">
      <c r="C664" s="26"/>
      <c r="D664" s="27"/>
      <c r="F664" s="25"/>
    </row>
    <row r="665" spans="3:6" ht="28.55" customHeight="1">
      <c r="C665" s="26"/>
      <c r="D665" s="27"/>
      <c r="F665" s="25"/>
    </row>
    <row r="666" spans="3:6" ht="28.55" customHeight="1">
      <c r="C666" s="26"/>
      <c r="D666" s="27"/>
      <c r="F666" s="25"/>
    </row>
    <row r="667" spans="3:6" ht="28.55" customHeight="1">
      <c r="C667" s="26"/>
      <c r="D667" s="27"/>
      <c r="F667" s="25"/>
    </row>
    <row r="668" spans="3:6" ht="28.55" customHeight="1">
      <c r="C668" s="26"/>
      <c r="D668" s="27"/>
      <c r="F668" s="25"/>
    </row>
    <row r="669" spans="3:6" ht="28.55" customHeight="1">
      <c r="C669" s="26"/>
      <c r="D669" s="27"/>
      <c r="F669" s="25"/>
    </row>
    <row r="670" spans="3:6" ht="28.55" customHeight="1">
      <c r="C670" s="26"/>
      <c r="D670" s="27"/>
      <c r="F670" s="25"/>
    </row>
    <row r="671" spans="3:6" ht="28.55" customHeight="1">
      <c r="C671" s="26"/>
      <c r="D671" s="27"/>
      <c r="F671" s="25"/>
    </row>
    <row r="672" spans="3:6" ht="28.55" customHeight="1">
      <c r="C672" s="26"/>
      <c r="D672" s="27"/>
      <c r="F672" s="25"/>
    </row>
    <row r="673" spans="3:6" ht="28.55" customHeight="1">
      <c r="C673" s="26"/>
      <c r="D673" s="27"/>
      <c r="F673" s="25"/>
    </row>
    <row r="674" spans="3:6" ht="28.55" customHeight="1">
      <c r="C674" s="26"/>
      <c r="D674" s="27"/>
      <c r="F674" s="25"/>
    </row>
    <row r="675" spans="3:6" ht="28.55" customHeight="1">
      <c r="C675" s="26"/>
      <c r="D675" s="27"/>
      <c r="F675" s="25"/>
    </row>
    <row r="676" spans="3:6" ht="28.55" customHeight="1">
      <c r="C676" s="26"/>
      <c r="D676" s="27"/>
      <c r="F676" s="25"/>
    </row>
    <row r="677" spans="3:6" ht="28.55" customHeight="1">
      <c r="C677" s="26"/>
      <c r="D677" s="27"/>
      <c r="F677" s="25"/>
    </row>
    <row r="678" spans="3:6" ht="28.55" customHeight="1">
      <c r="C678" s="26"/>
      <c r="D678" s="27"/>
      <c r="F678" s="25"/>
    </row>
    <row r="679" spans="3:6" ht="28.55" customHeight="1">
      <c r="C679" s="26"/>
      <c r="D679" s="27"/>
      <c r="F679" s="25"/>
    </row>
    <row r="680" spans="3:6" ht="28.55" customHeight="1">
      <c r="C680" s="26"/>
      <c r="D680" s="27"/>
      <c r="F680" s="25"/>
    </row>
    <row r="681" spans="3:6" ht="28.55" customHeight="1">
      <c r="C681" s="26"/>
      <c r="D681" s="27"/>
      <c r="F681" s="25"/>
    </row>
    <row r="682" spans="3:6" ht="28.55" customHeight="1">
      <c r="C682" s="26"/>
      <c r="D682" s="27"/>
      <c r="F682" s="25"/>
    </row>
    <row r="683" spans="3:6" ht="28.55" customHeight="1">
      <c r="C683" s="26"/>
      <c r="D683" s="27"/>
      <c r="F683" s="25"/>
    </row>
    <row r="684" spans="3:6" ht="28.55" customHeight="1">
      <c r="C684" s="26"/>
      <c r="D684" s="27"/>
      <c r="F684" s="25"/>
    </row>
    <row r="685" spans="3:6" ht="28.55" customHeight="1">
      <c r="C685" s="26"/>
      <c r="D685" s="27"/>
      <c r="F685" s="25"/>
    </row>
    <row r="686" spans="3:6" ht="28.55" customHeight="1">
      <c r="C686" s="26"/>
      <c r="D686" s="27"/>
      <c r="F686" s="25"/>
    </row>
    <row r="687" spans="3:6" ht="28.55" customHeight="1">
      <c r="C687" s="26"/>
      <c r="D687" s="27"/>
      <c r="F687" s="25"/>
    </row>
    <row r="688" spans="3:6" ht="28.55" customHeight="1">
      <c r="C688" s="26"/>
      <c r="D688" s="27"/>
      <c r="F688" s="25"/>
    </row>
    <row r="689" spans="3:6" ht="28.55" customHeight="1">
      <c r="C689" s="26"/>
      <c r="D689" s="27"/>
      <c r="F689" s="25"/>
    </row>
    <row r="690" spans="3:6" ht="28.55" customHeight="1">
      <c r="C690" s="26"/>
      <c r="D690" s="27"/>
      <c r="F690" s="25"/>
    </row>
    <row r="691" spans="3:6" ht="28.55" customHeight="1">
      <c r="C691" s="26"/>
      <c r="D691" s="27"/>
      <c r="F691" s="25"/>
    </row>
    <row r="692" spans="3:6" ht="28.55" customHeight="1">
      <c r="C692" s="26"/>
      <c r="D692" s="27"/>
      <c r="F692" s="25"/>
    </row>
    <row r="693" spans="3:6" ht="28.55" customHeight="1">
      <c r="C693" s="26"/>
      <c r="D693" s="27"/>
      <c r="F693" s="25"/>
    </row>
    <row r="694" spans="3:6" ht="28.55" customHeight="1">
      <c r="C694" s="26"/>
      <c r="D694" s="27"/>
      <c r="F694" s="25"/>
    </row>
    <row r="695" spans="3:6" ht="28.55" customHeight="1">
      <c r="C695" s="26"/>
      <c r="D695" s="27"/>
      <c r="F695" s="25"/>
    </row>
    <row r="696" spans="3:6" ht="28.55" customHeight="1">
      <c r="C696" s="26"/>
      <c r="D696" s="27"/>
      <c r="F696" s="25"/>
    </row>
    <row r="697" spans="3:6" ht="28.55" customHeight="1">
      <c r="C697" s="26"/>
      <c r="D697" s="27"/>
      <c r="F697" s="25"/>
    </row>
    <row r="698" spans="3:6" ht="28.55" customHeight="1">
      <c r="C698" s="26"/>
      <c r="D698" s="27"/>
      <c r="F698" s="25"/>
    </row>
    <row r="699" spans="3:6" ht="28.55" customHeight="1">
      <c r="C699" s="26"/>
      <c r="D699" s="27"/>
      <c r="F699" s="25"/>
    </row>
    <row r="700" spans="3:6" ht="28.55" customHeight="1">
      <c r="C700" s="26"/>
      <c r="D700" s="27"/>
      <c r="F700" s="25"/>
    </row>
    <row r="701" spans="3:6" ht="28.55" customHeight="1">
      <c r="C701" s="26"/>
      <c r="D701" s="27"/>
      <c r="F701" s="25"/>
    </row>
    <row r="702" spans="3:6" ht="28.55" customHeight="1">
      <c r="C702" s="26"/>
      <c r="D702" s="27"/>
      <c r="F702" s="25"/>
    </row>
    <row r="703" spans="3:6" ht="28.55" customHeight="1">
      <c r="C703" s="26"/>
      <c r="D703" s="27"/>
      <c r="F703" s="25"/>
    </row>
    <row r="704" spans="3:6" ht="28.55" customHeight="1">
      <c r="C704" s="26"/>
      <c r="D704" s="27"/>
      <c r="F704" s="25"/>
    </row>
    <row r="705" spans="3:6" ht="28.55" customHeight="1">
      <c r="C705" s="26"/>
      <c r="D705" s="27"/>
      <c r="F705" s="25"/>
    </row>
    <row r="706" spans="3:6" ht="28.55" customHeight="1">
      <c r="C706" s="26"/>
      <c r="D706" s="27"/>
      <c r="F706" s="25"/>
    </row>
    <row r="707" spans="3:6" ht="28.55" customHeight="1">
      <c r="C707" s="26"/>
      <c r="D707" s="27"/>
      <c r="F707" s="25"/>
    </row>
    <row r="708" spans="3:6" ht="28.55" customHeight="1">
      <c r="C708" s="26"/>
      <c r="D708" s="27"/>
      <c r="F708" s="25"/>
    </row>
    <row r="709" spans="3:6" ht="28.55" customHeight="1">
      <c r="C709" s="26"/>
      <c r="D709" s="27"/>
      <c r="F709" s="25"/>
    </row>
    <row r="710" spans="3:6" ht="28.55" customHeight="1">
      <c r="C710" s="26"/>
      <c r="D710" s="27"/>
      <c r="F710" s="25"/>
    </row>
    <row r="711" spans="3:6" ht="28.55" customHeight="1">
      <c r="C711" s="26"/>
      <c r="D711" s="27"/>
      <c r="F711" s="25"/>
    </row>
    <row r="712" spans="3:6" ht="28.55" customHeight="1">
      <c r="C712" s="26"/>
      <c r="D712" s="27"/>
      <c r="F712" s="25"/>
    </row>
    <row r="713" spans="3:6" ht="28.55" customHeight="1">
      <c r="C713" s="26"/>
      <c r="D713" s="27"/>
      <c r="F713" s="25"/>
    </row>
    <row r="714" spans="3:6" ht="28.55" customHeight="1">
      <c r="C714" s="26"/>
      <c r="D714" s="27"/>
      <c r="F714" s="25"/>
    </row>
    <row r="715" spans="3:6" ht="28.55" customHeight="1">
      <c r="C715" s="26"/>
      <c r="D715" s="27"/>
      <c r="F715" s="25"/>
    </row>
    <row r="716" spans="3:6" ht="28.55" customHeight="1">
      <c r="C716" s="26"/>
      <c r="D716" s="27"/>
      <c r="F716" s="25"/>
    </row>
    <row r="717" spans="3:6" ht="28.55" customHeight="1">
      <c r="C717" s="26"/>
      <c r="D717" s="27"/>
      <c r="F717" s="25"/>
    </row>
    <row r="718" spans="3:6" ht="28.55" customHeight="1">
      <c r="C718" s="26"/>
      <c r="D718" s="27"/>
      <c r="F718" s="25"/>
    </row>
    <row r="719" spans="3:6" ht="28.55" customHeight="1">
      <c r="C719" s="26"/>
      <c r="D719" s="27"/>
      <c r="F719" s="25"/>
    </row>
    <row r="720" spans="3:6" ht="28.55" customHeight="1">
      <c r="C720" s="26"/>
      <c r="D720" s="27"/>
      <c r="F720" s="25"/>
    </row>
    <row r="721" spans="3:6" ht="28.55" customHeight="1">
      <c r="C721" s="26"/>
      <c r="D721" s="27"/>
      <c r="F721" s="25"/>
    </row>
    <row r="722" spans="3:6" ht="28.55" customHeight="1">
      <c r="C722" s="26"/>
      <c r="D722" s="27"/>
      <c r="F722" s="25"/>
    </row>
    <row r="723" spans="3:6" ht="28.55" customHeight="1">
      <c r="C723" s="26"/>
      <c r="D723" s="27"/>
      <c r="F723" s="25"/>
    </row>
    <row r="724" spans="3:6" ht="28.55" customHeight="1">
      <c r="C724" s="26"/>
      <c r="D724" s="27"/>
      <c r="F724" s="25"/>
    </row>
    <row r="725" spans="3:6" ht="28.55" customHeight="1">
      <c r="C725" s="26"/>
      <c r="D725" s="27"/>
      <c r="F725" s="25"/>
    </row>
    <row r="726" spans="3:6" ht="28.55" customHeight="1">
      <c r="C726" s="26"/>
      <c r="D726" s="27"/>
      <c r="F726" s="25"/>
    </row>
    <row r="727" spans="3:6" ht="28.55" customHeight="1">
      <c r="C727" s="26"/>
      <c r="D727" s="27"/>
      <c r="F727" s="25"/>
    </row>
    <row r="728" spans="3:6" ht="28.55" customHeight="1">
      <c r="C728" s="26"/>
      <c r="D728" s="27"/>
      <c r="F728" s="25"/>
    </row>
    <row r="729" spans="3:6" ht="28.55" customHeight="1">
      <c r="C729" s="26"/>
      <c r="D729" s="27"/>
      <c r="F729" s="25"/>
    </row>
    <row r="730" spans="3:6" ht="28.55" customHeight="1">
      <c r="C730" s="26"/>
      <c r="D730" s="27"/>
      <c r="F730" s="25"/>
    </row>
    <row r="731" spans="3:6" ht="28.55" customHeight="1">
      <c r="C731" s="26"/>
      <c r="D731" s="27"/>
      <c r="F731" s="25"/>
    </row>
    <row r="732" spans="3:6" ht="28.55" customHeight="1">
      <c r="C732" s="26"/>
      <c r="D732" s="27"/>
      <c r="F732" s="25"/>
    </row>
    <row r="733" spans="3:6" ht="28.55" customHeight="1">
      <c r="C733" s="26"/>
      <c r="D733" s="27"/>
      <c r="F733" s="25"/>
    </row>
    <row r="734" spans="3:6" ht="28.55" customHeight="1">
      <c r="C734" s="26"/>
      <c r="D734" s="27"/>
      <c r="F734" s="25"/>
    </row>
    <row r="735" spans="3:6" ht="28.55" customHeight="1">
      <c r="C735" s="26"/>
      <c r="D735" s="27"/>
      <c r="F735" s="25"/>
    </row>
    <row r="736" spans="3:6" ht="28.55" customHeight="1">
      <c r="C736" s="26"/>
      <c r="D736" s="27"/>
      <c r="F736" s="25"/>
    </row>
    <row r="737" spans="3:6" ht="28.55" customHeight="1">
      <c r="C737" s="26"/>
      <c r="D737" s="27"/>
      <c r="F737" s="25"/>
    </row>
    <row r="738" spans="3:6" ht="28.55" customHeight="1">
      <c r="C738" s="26"/>
      <c r="D738" s="27"/>
      <c r="F738" s="25"/>
    </row>
    <row r="739" spans="3:6" ht="28.55" customHeight="1">
      <c r="C739" s="26"/>
      <c r="D739" s="27"/>
      <c r="F739" s="25"/>
    </row>
    <row r="740" spans="3:6" ht="28.55" customHeight="1">
      <c r="C740" s="26"/>
      <c r="D740" s="27"/>
      <c r="F740" s="25"/>
    </row>
    <row r="741" spans="3:6" ht="28.55" customHeight="1">
      <c r="C741" s="26"/>
      <c r="D741" s="27"/>
      <c r="F741" s="25"/>
    </row>
    <row r="742" spans="3:6" ht="28.55" customHeight="1">
      <c r="C742" s="26"/>
      <c r="D742" s="27"/>
      <c r="F742" s="25"/>
    </row>
    <row r="743" spans="3:6" ht="28.55" customHeight="1">
      <c r="C743" s="26"/>
      <c r="D743" s="27"/>
      <c r="F743" s="25"/>
    </row>
    <row r="744" spans="3:6" ht="28.55" customHeight="1">
      <c r="C744" s="26"/>
      <c r="D744" s="27"/>
      <c r="F744" s="25"/>
    </row>
    <row r="745" spans="3:6" ht="28.55" customHeight="1">
      <c r="C745" s="26"/>
      <c r="D745" s="27"/>
      <c r="F745" s="25"/>
    </row>
    <row r="746" spans="3:6" ht="28.55" customHeight="1">
      <c r="C746" s="26"/>
      <c r="D746" s="27"/>
      <c r="F746" s="25"/>
    </row>
    <row r="747" spans="3:6" ht="28.55" customHeight="1">
      <c r="C747" s="26"/>
      <c r="D747" s="27"/>
      <c r="F747" s="25"/>
    </row>
    <row r="748" spans="3:6" ht="28.55" customHeight="1">
      <c r="C748" s="26"/>
      <c r="D748" s="27"/>
      <c r="F748" s="25"/>
    </row>
    <row r="749" spans="3:6" ht="28.55" customHeight="1">
      <c r="C749" s="26"/>
      <c r="D749" s="27"/>
      <c r="F749" s="25"/>
    </row>
    <row r="750" spans="3:6" ht="28.55" customHeight="1">
      <c r="C750" s="26"/>
      <c r="D750" s="27"/>
      <c r="F750" s="25"/>
    </row>
    <row r="751" spans="3:6" ht="28.55" customHeight="1">
      <c r="C751" s="26"/>
      <c r="D751" s="27"/>
      <c r="F751" s="25"/>
    </row>
    <row r="752" spans="3:6" ht="28.55" customHeight="1">
      <c r="C752" s="26"/>
      <c r="D752" s="27"/>
      <c r="F752" s="25"/>
    </row>
    <row r="753" spans="3:6" ht="28.55" customHeight="1">
      <c r="C753" s="26"/>
      <c r="D753" s="27"/>
      <c r="F753" s="25"/>
    </row>
    <row r="754" spans="3:6" ht="28.55" customHeight="1">
      <c r="C754" s="26"/>
      <c r="D754" s="27"/>
      <c r="F754" s="25"/>
    </row>
    <row r="755" spans="3:6" ht="28.55" customHeight="1">
      <c r="C755" s="26"/>
      <c r="D755" s="27"/>
      <c r="F755" s="25"/>
    </row>
    <row r="756" spans="3:6" ht="28.55" customHeight="1">
      <c r="C756" s="26"/>
      <c r="D756" s="27"/>
      <c r="F756" s="25"/>
    </row>
    <row r="757" spans="3:6" ht="28.55" customHeight="1">
      <c r="C757" s="26"/>
      <c r="D757" s="27"/>
      <c r="F757" s="25"/>
    </row>
    <row r="758" spans="3:6" ht="28.55" customHeight="1">
      <c r="C758" s="26"/>
      <c r="D758" s="27"/>
      <c r="F758" s="25"/>
    </row>
    <row r="759" spans="3:6" ht="28.55" customHeight="1">
      <c r="C759" s="26"/>
      <c r="D759" s="27"/>
      <c r="F759" s="25"/>
    </row>
    <row r="760" spans="3:6" ht="28.55" customHeight="1">
      <c r="C760" s="26"/>
      <c r="D760" s="27"/>
      <c r="F760" s="25"/>
    </row>
    <row r="761" spans="3:6" ht="28.55" customHeight="1">
      <c r="C761" s="26"/>
      <c r="D761" s="27"/>
      <c r="F761" s="25"/>
    </row>
    <row r="762" spans="3:6" ht="28.55" customHeight="1">
      <c r="C762" s="26"/>
      <c r="D762" s="27"/>
      <c r="F762" s="25"/>
    </row>
    <row r="763" spans="3:6" ht="28.55" customHeight="1">
      <c r="C763" s="26"/>
      <c r="D763" s="27"/>
      <c r="F763" s="25"/>
    </row>
    <row r="764" spans="3:6" ht="28.55" customHeight="1">
      <c r="C764" s="26"/>
      <c r="D764" s="27"/>
      <c r="F764" s="25"/>
    </row>
    <row r="765" spans="3:6" ht="28.55" customHeight="1">
      <c r="C765" s="26"/>
      <c r="D765" s="27"/>
      <c r="F765" s="25"/>
    </row>
    <row r="766" spans="3:6" ht="28.55" customHeight="1">
      <c r="C766" s="26"/>
      <c r="D766" s="27"/>
      <c r="F766" s="25"/>
    </row>
    <row r="767" spans="3:6" ht="28.55" customHeight="1">
      <c r="C767" s="26"/>
      <c r="D767" s="27"/>
      <c r="F767" s="25"/>
    </row>
    <row r="768" spans="3:6" ht="28.55" customHeight="1">
      <c r="C768" s="26"/>
      <c r="D768" s="27"/>
      <c r="F768" s="25"/>
    </row>
    <row r="769" spans="3:6" ht="28.55" customHeight="1">
      <c r="C769" s="26"/>
      <c r="D769" s="27"/>
      <c r="F769" s="25"/>
    </row>
    <row r="770" spans="3:6" ht="28.55" customHeight="1">
      <c r="C770" s="26"/>
      <c r="D770" s="27"/>
      <c r="F770" s="25"/>
    </row>
    <row r="771" spans="3:6" ht="28.55" customHeight="1">
      <c r="C771" s="26"/>
      <c r="D771" s="27"/>
      <c r="F771" s="25"/>
    </row>
    <row r="772" spans="3:6" ht="28.55" customHeight="1">
      <c r="C772" s="26"/>
      <c r="D772" s="27"/>
      <c r="F772" s="25"/>
    </row>
    <row r="773" spans="3:6" ht="28.55" customHeight="1">
      <c r="C773" s="26"/>
      <c r="D773" s="27"/>
      <c r="F773" s="25"/>
    </row>
    <row r="774" spans="3:6" ht="28.55" customHeight="1">
      <c r="C774" s="26"/>
      <c r="D774" s="27"/>
      <c r="F774" s="25"/>
    </row>
    <row r="775" spans="3:6" ht="28.55" customHeight="1">
      <c r="C775" s="26"/>
      <c r="D775" s="27"/>
      <c r="F775" s="25"/>
    </row>
    <row r="776" spans="3:6" ht="28.55" customHeight="1">
      <c r="C776" s="26"/>
      <c r="D776" s="27"/>
      <c r="F776" s="25"/>
    </row>
    <row r="777" spans="3:6" ht="28.55" customHeight="1">
      <c r="C777" s="26"/>
      <c r="D777" s="27"/>
      <c r="F777" s="25"/>
    </row>
    <row r="778" spans="3:6" ht="28.55" customHeight="1">
      <c r="C778" s="26"/>
      <c r="D778" s="27"/>
      <c r="F778" s="25"/>
    </row>
    <row r="779" spans="3:6" ht="28.55" customHeight="1">
      <c r="C779" s="26"/>
      <c r="D779" s="27"/>
      <c r="F779" s="25"/>
    </row>
    <row r="780" spans="3:6" ht="28.55" customHeight="1">
      <c r="C780" s="26"/>
      <c r="D780" s="27"/>
      <c r="F780" s="25"/>
    </row>
    <row r="781" spans="3:6" ht="28.55" customHeight="1">
      <c r="C781" s="26"/>
      <c r="D781" s="27"/>
      <c r="F781" s="25"/>
    </row>
    <row r="782" spans="3:6" ht="28.55" customHeight="1">
      <c r="C782" s="26"/>
      <c r="D782" s="27"/>
      <c r="F782" s="25"/>
    </row>
    <row r="783" spans="3:6" ht="28.55" customHeight="1">
      <c r="C783" s="26"/>
      <c r="D783" s="27"/>
      <c r="F783" s="25"/>
    </row>
    <row r="784" spans="3:6" ht="28.55" customHeight="1">
      <c r="C784" s="26"/>
      <c r="D784" s="27"/>
      <c r="F784" s="25"/>
    </row>
    <row r="785" spans="3:6" ht="28.55" customHeight="1">
      <c r="C785" s="26"/>
      <c r="D785" s="27"/>
      <c r="F785" s="25"/>
    </row>
    <row r="786" spans="3:6" ht="28.55" customHeight="1">
      <c r="C786" s="26"/>
      <c r="D786" s="27"/>
      <c r="F786" s="25"/>
    </row>
    <row r="787" spans="3:6" ht="28.55" customHeight="1">
      <c r="C787" s="26"/>
      <c r="D787" s="27"/>
      <c r="F787" s="25"/>
    </row>
    <row r="788" spans="3:6" ht="28.55" customHeight="1">
      <c r="C788" s="26"/>
      <c r="D788" s="27"/>
      <c r="F788" s="25"/>
    </row>
    <row r="789" spans="3:6" ht="28.55" customHeight="1">
      <c r="C789" s="26"/>
      <c r="D789" s="27"/>
      <c r="F789" s="25"/>
    </row>
    <row r="790" spans="3:6" ht="28.55" customHeight="1">
      <c r="C790" s="26"/>
      <c r="D790" s="27"/>
      <c r="F790" s="25"/>
    </row>
    <row r="791" spans="3:6" ht="28.55" customHeight="1">
      <c r="C791" s="26"/>
      <c r="D791" s="27"/>
      <c r="F791" s="25"/>
    </row>
    <row r="792" spans="3:6" ht="28.55" customHeight="1">
      <c r="C792" s="26"/>
      <c r="D792" s="27"/>
      <c r="F792" s="25"/>
    </row>
    <row r="793" spans="3:6" ht="28.55" customHeight="1">
      <c r="C793" s="26"/>
      <c r="D793" s="27"/>
      <c r="F793" s="25"/>
    </row>
    <row r="794" spans="3:6" ht="28.55" customHeight="1">
      <c r="C794" s="26"/>
      <c r="D794" s="27"/>
      <c r="F794" s="25"/>
    </row>
    <row r="795" spans="3:6" ht="28.55" customHeight="1">
      <c r="C795" s="26"/>
      <c r="D795" s="27"/>
      <c r="F795" s="25"/>
    </row>
    <row r="796" spans="3:6" ht="28.55" customHeight="1">
      <c r="C796" s="26"/>
      <c r="D796" s="27"/>
      <c r="F796" s="25"/>
    </row>
    <row r="797" spans="3:6" ht="28.55" customHeight="1">
      <c r="C797" s="26"/>
      <c r="D797" s="27"/>
      <c r="F797" s="25"/>
    </row>
    <row r="798" spans="3:6" ht="28.55" customHeight="1">
      <c r="C798" s="26"/>
      <c r="D798" s="27"/>
      <c r="F798" s="25"/>
    </row>
    <row r="799" spans="3:6" ht="28.55" customHeight="1">
      <c r="C799" s="26"/>
      <c r="D799" s="27"/>
      <c r="F799" s="25"/>
    </row>
    <row r="800" spans="3:6" ht="28.55" customHeight="1">
      <c r="C800" s="26"/>
      <c r="D800" s="27"/>
      <c r="F800" s="25"/>
    </row>
    <row r="801" spans="3:6" ht="28.55" customHeight="1">
      <c r="C801" s="26"/>
      <c r="D801" s="27"/>
      <c r="F801" s="25"/>
    </row>
    <row r="802" spans="3:6" ht="28.55" customHeight="1">
      <c r="C802" s="26"/>
      <c r="D802" s="27"/>
      <c r="F802" s="25"/>
    </row>
    <row r="803" spans="3:6" ht="28.55" customHeight="1">
      <c r="C803" s="26"/>
      <c r="D803" s="27"/>
      <c r="F803" s="25"/>
    </row>
    <row r="804" spans="3:6" ht="28.55" customHeight="1">
      <c r="C804" s="26"/>
      <c r="D804" s="27"/>
      <c r="F804" s="25"/>
    </row>
    <row r="805" spans="3:6" ht="28.55" customHeight="1">
      <c r="C805" s="26"/>
      <c r="D805" s="27"/>
      <c r="F805" s="25"/>
    </row>
    <row r="806" spans="3:6" ht="28.55" customHeight="1">
      <c r="C806" s="26"/>
      <c r="D806" s="27"/>
      <c r="F806" s="25"/>
    </row>
    <row r="807" spans="3:6" ht="28.55" customHeight="1">
      <c r="C807" s="26"/>
      <c r="D807" s="27"/>
      <c r="F807" s="25"/>
    </row>
    <row r="808" spans="3:6" ht="28.55" customHeight="1">
      <c r="C808" s="26"/>
      <c r="D808" s="27"/>
      <c r="F808" s="25"/>
    </row>
    <row r="809" spans="3:6" ht="28.55" customHeight="1">
      <c r="C809" s="26"/>
      <c r="D809" s="27"/>
      <c r="F809" s="25"/>
    </row>
    <row r="810" spans="3:6" ht="28.55" customHeight="1">
      <c r="C810" s="26"/>
      <c r="D810" s="27"/>
      <c r="F810" s="25"/>
    </row>
    <row r="811" spans="3:6" ht="28.55" customHeight="1">
      <c r="C811" s="26"/>
      <c r="D811" s="27"/>
      <c r="F811" s="25"/>
    </row>
    <row r="812" spans="3:6" ht="28.55" customHeight="1">
      <c r="C812" s="26"/>
      <c r="D812" s="27"/>
      <c r="F812" s="25"/>
    </row>
    <row r="813" spans="3:6" ht="28.55" customHeight="1">
      <c r="C813" s="26"/>
      <c r="D813" s="27"/>
      <c r="F813" s="25"/>
    </row>
    <row r="814" spans="3:6" ht="28.55" customHeight="1">
      <c r="C814" s="26"/>
      <c r="D814" s="27"/>
      <c r="F814" s="25"/>
    </row>
    <row r="815" spans="3:6" ht="28.55" customHeight="1">
      <c r="C815" s="26"/>
      <c r="D815" s="27"/>
      <c r="F815" s="25"/>
    </row>
    <row r="816" spans="3:6" ht="28.55" customHeight="1">
      <c r="C816" s="26"/>
      <c r="D816" s="27"/>
      <c r="F816" s="25"/>
    </row>
    <row r="817" spans="3:6" ht="28.55" customHeight="1">
      <c r="C817" s="26"/>
      <c r="D817" s="27"/>
      <c r="F817" s="25"/>
    </row>
    <row r="818" spans="3:6" ht="28.55" customHeight="1">
      <c r="C818" s="26"/>
      <c r="D818" s="27"/>
      <c r="F818" s="25"/>
    </row>
    <row r="819" spans="3:6" ht="28.55" customHeight="1">
      <c r="C819" s="26"/>
      <c r="D819" s="27"/>
      <c r="F819" s="25"/>
    </row>
    <row r="820" spans="3:6" ht="28.55" customHeight="1">
      <c r="C820" s="26"/>
      <c r="D820" s="27"/>
      <c r="F820" s="25"/>
    </row>
    <row r="821" spans="3:6" ht="28.55" customHeight="1">
      <c r="C821" s="26"/>
      <c r="D821" s="27"/>
      <c r="F821" s="25"/>
    </row>
    <row r="822" spans="3:6" ht="28.55" customHeight="1">
      <c r="C822" s="26"/>
      <c r="D822" s="27"/>
      <c r="F822" s="25"/>
    </row>
    <row r="823" spans="3:6" ht="28.55" customHeight="1">
      <c r="C823" s="26"/>
      <c r="D823" s="27"/>
      <c r="F823" s="25"/>
    </row>
    <row r="824" spans="3:6" ht="28.55" customHeight="1">
      <c r="C824" s="26"/>
      <c r="D824" s="27"/>
      <c r="F824" s="25"/>
    </row>
    <row r="825" spans="3:6" ht="28.55" customHeight="1">
      <c r="C825" s="26"/>
      <c r="D825" s="27"/>
      <c r="F825" s="25"/>
    </row>
    <row r="826" spans="3:6" ht="28.55" customHeight="1">
      <c r="C826" s="26"/>
      <c r="D826" s="27"/>
      <c r="F826" s="25"/>
    </row>
    <row r="827" spans="3:6" ht="28.55" customHeight="1">
      <c r="C827" s="26"/>
      <c r="D827" s="27"/>
      <c r="F827" s="25"/>
    </row>
    <row r="828" spans="3:6" ht="28.55" customHeight="1">
      <c r="C828" s="26"/>
      <c r="D828" s="27"/>
      <c r="F828" s="25"/>
    </row>
    <row r="829" spans="3:6" ht="28.55" customHeight="1">
      <c r="C829" s="26"/>
      <c r="D829" s="27"/>
      <c r="F829" s="25"/>
    </row>
    <row r="830" spans="3:6" ht="28.55" customHeight="1">
      <c r="C830" s="26"/>
      <c r="D830" s="27"/>
      <c r="F830" s="25"/>
    </row>
    <row r="831" spans="3:6" ht="28.55" customHeight="1">
      <c r="C831" s="26"/>
      <c r="D831" s="27"/>
      <c r="F831" s="25"/>
    </row>
    <row r="832" spans="3:6" ht="28.55" customHeight="1">
      <c r="C832" s="26"/>
      <c r="D832" s="27"/>
      <c r="F832" s="25"/>
    </row>
    <row r="833" spans="3:6" ht="28.55" customHeight="1">
      <c r="C833" s="26"/>
      <c r="D833" s="27"/>
      <c r="F833" s="25"/>
    </row>
    <row r="834" spans="3:6" ht="28.55" customHeight="1">
      <c r="C834" s="26"/>
      <c r="D834" s="27"/>
      <c r="F834" s="25"/>
    </row>
    <row r="835" spans="3:6" ht="28.55" customHeight="1">
      <c r="C835" s="26"/>
      <c r="D835" s="27"/>
      <c r="F835" s="25"/>
    </row>
    <row r="836" spans="3:6" ht="28.55" customHeight="1">
      <c r="C836" s="26"/>
      <c r="D836" s="27"/>
      <c r="F836" s="25"/>
    </row>
    <row r="837" spans="3:6" ht="28.55" customHeight="1">
      <c r="C837" s="26"/>
      <c r="D837" s="27"/>
      <c r="F837" s="25"/>
    </row>
    <row r="838" spans="3:6" ht="28.55" customHeight="1">
      <c r="C838" s="26"/>
      <c r="D838" s="27"/>
      <c r="F838" s="25"/>
    </row>
    <row r="839" spans="3:6" ht="28.55" customHeight="1">
      <c r="C839" s="26"/>
      <c r="D839" s="27"/>
      <c r="F839" s="25"/>
    </row>
    <row r="840" spans="3:6" ht="28.55" customHeight="1">
      <c r="C840" s="26"/>
      <c r="D840" s="27"/>
      <c r="F840" s="25"/>
    </row>
    <row r="841" spans="3:6" ht="28.55" customHeight="1">
      <c r="C841" s="26"/>
      <c r="D841" s="27"/>
      <c r="F841" s="25"/>
    </row>
    <row r="842" spans="3:6" ht="28.55" customHeight="1">
      <c r="C842" s="26"/>
      <c r="D842" s="27"/>
      <c r="F842" s="25"/>
    </row>
    <row r="843" spans="3:6" ht="28.55" customHeight="1">
      <c r="C843" s="26"/>
      <c r="D843" s="27"/>
      <c r="F843" s="25"/>
    </row>
    <row r="844" spans="3:6" ht="28.55" customHeight="1">
      <c r="C844" s="26"/>
      <c r="D844" s="27"/>
      <c r="F844" s="25"/>
    </row>
    <row r="845" spans="3:6" ht="28.55" customHeight="1">
      <c r="C845" s="26"/>
      <c r="D845" s="27"/>
      <c r="F845" s="25"/>
    </row>
    <row r="846" spans="3:6" ht="28.55" customHeight="1">
      <c r="C846" s="26"/>
      <c r="D846" s="27"/>
      <c r="F846" s="25"/>
    </row>
    <row r="847" spans="3:6" ht="28.55" customHeight="1">
      <c r="C847" s="26"/>
      <c r="D847" s="27"/>
      <c r="F847" s="25"/>
    </row>
    <row r="848" spans="3:6" ht="28.55" customHeight="1">
      <c r="C848" s="26"/>
      <c r="D848" s="27"/>
      <c r="F848" s="25"/>
    </row>
    <row r="849" spans="3:6" ht="28.55" customHeight="1">
      <c r="C849" s="26"/>
      <c r="D849" s="27"/>
      <c r="F849" s="25"/>
    </row>
    <row r="850" spans="3:6" ht="28.55" customHeight="1">
      <c r="C850" s="26"/>
      <c r="D850" s="27"/>
      <c r="F850" s="25"/>
    </row>
    <row r="851" spans="3:6" ht="28.55" customHeight="1">
      <c r="C851" s="26"/>
      <c r="D851" s="27"/>
      <c r="F851" s="25"/>
    </row>
    <row r="852" spans="3:6" ht="28.55" customHeight="1">
      <c r="C852" s="26"/>
      <c r="D852" s="27"/>
      <c r="F852" s="25"/>
    </row>
    <row r="853" spans="3:6" ht="28.55" customHeight="1">
      <c r="C853" s="26"/>
      <c r="D853" s="27"/>
      <c r="F853" s="25"/>
    </row>
    <row r="854" spans="3:6" ht="28.55" customHeight="1">
      <c r="C854" s="26"/>
      <c r="D854" s="27"/>
      <c r="F854" s="25"/>
    </row>
    <row r="855" spans="3:6" ht="28.55" customHeight="1">
      <c r="C855" s="26"/>
      <c r="D855" s="27"/>
      <c r="F855" s="25"/>
    </row>
    <row r="856" spans="3:6" ht="28.55" customHeight="1">
      <c r="C856" s="26"/>
      <c r="D856" s="27"/>
      <c r="F856" s="25"/>
    </row>
    <row r="857" spans="3:6" ht="28.55" customHeight="1">
      <c r="C857" s="26"/>
      <c r="D857" s="27"/>
      <c r="F857" s="25"/>
    </row>
    <row r="858" spans="3:6" ht="28.55" customHeight="1">
      <c r="C858" s="26"/>
      <c r="D858" s="27"/>
      <c r="F858" s="25"/>
    </row>
    <row r="859" spans="3:6" ht="28.55" customHeight="1">
      <c r="C859" s="26"/>
      <c r="D859" s="27"/>
      <c r="F859" s="25"/>
    </row>
    <row r="860" spans="3:6" ht="28.55" customHeight="1">
      <c r="C860" s="26"/>
      <c r="D860" s="27"/>
      <c r="F860" s="25"/>
    </row>
    <row r="861" spans="3:6" ht="28.55" customHeight="1">
      <c r="C861" s="26"/>
      <c r="D861" s="27"/>
      <c r="F861" s="25"/>
    </row>
    <row r="862" spans="3:6" ht="28.55" customHeight="1">
      <c r="C862" s="26"/>
      <c r="D862" s="27"/>
      <c r="F862" s="25"/>
    </row>
    <row r="863" spans="3:6" ht="28.55" customHeight="1">
      <c r="C863" s="26"/>
      <c r="D863" s="27"/>
      <c r="F863" s="25"/>
    </row>
    <row r="864" spans="3:6" ht="28.55" customHeight="1">
      <c r="C864" s="26"/>
      <c r="D864" s="27"/>
      <c r="F864" s="25"/>
    </row>
    <row r="865" spans="3:6" ht="28.55" customHeight="1">
      <c r="C865" s="26"/>
      <c r="D865" s="27"/>
      <c r="F865" s="25"/>
    </row>
    <row r="866" spans="3:6" ht="28.55" customHeight="1">
      <c r="C866" s="26"/>
      <c r="D866" s="27"/>
      <c r="F866" s="25"/>
    </row>
    <row r="867" spans="3:6" ht="28.55" customHeight="1">
      <c r="C867" s="26"/>
      <c r="D867" s="27"/>
      <c r="F867" s="25"/>
    </row>
    <row r="868" spans="3:6" ht="28.55" customHeight="1">
      <c r="C868" s="26"/>
      <c r="D868" s="27"/>
      <c r="F868" s="25"/>
    </row>
    <row r="869" spans="3:6" ht="28.55" customHeight="1">
      <c r="C869" s="26"/>
      <c r="D869" s="27"/>
      <c r="F869" s="25"/>
    </row>
    <row r="870" spans="3:6" ht="28.55" customHeight="1">
      <c r="C870" s="26"/>
      <c r="D870" s="27"/>
      <c r="F870" s="25"/>
    </row>
    <row r="871" spans="3:6" ht="28.55" customHeight="1">
      <c r="C871" s="26"/>
      <c r="D871" s="27"/>
      <c r="F871" s="25"/>
    </row>
    <row r="872" spans="3:6" ht="28.55" customHeight="1">
      <c r="C872" s="26"/>
      <c r="D872" s="27"/>
      <c r="F872" s="25"/>
    </row>
    <row r="873" spans="3:6" ht="28.55" customHeight="1">
      <c r="C873" s="26"/>
      <c r="D873" s="27"/>
      <c r="F873" s="25"/>
    </row>
    <row r="874" spans="3:6" ht="28.55" customHeight="1">
      <c r="C874" s="26"/>
      <c r="D874" s="27"/>
      <c r="F874" s="25"/>
    </row>
    <row r="875" spans="3:6" ht="28.55" customHeight="1">
      <c r="C875" s="26"/>
      <c r="D875" s="27"/>
      <c r="F875" s="25"/>
    </row>
    <row r="876" spans="3:6" ht="28.55" customHeight="1">
      <c r="C876" s="26"/>
      <c r="D876" s="27"/>
      <c r="F876" s="25"/>
    </row>
    <row r="877" spans="3:6" ht="28.55" customHeight="1">
      <c r="C877" s="26"/>
      <c r="D877" s="27"/>
      <c r="F877" s="25"/>
    </row>
    <row r="878" spans="3:6" ht="28.55" customHeight="1">
      <c r="C878" s="26"/>
      <c r="D878" s="27"/>
      <c r="F878" s="25"/>
    </row>
    <row r="879" spans="3:6" ht="28.55" customHeight="1">
      <c r="C879" s="26"/>
      <c r="D879" s="27"/>
      <c r="F879" s="25"/>
    </row>
    <row r="880" spans="3:6" ht="28.55" customHeight="1">
      <c r="C880" s="26"/>
      <c r="D880" s="27"/>
      <c r="F880" s="25"/>
    </row>
    <row r="881" spans="3:6" ht="28.55" customHeight="1">
      <c r="C881" s="26"/>
      <c r="D881" s="27"/>
      <c r="F881" s="25"/>
    </row>
    <row r="882" spans="3:6" ht="28.55" customHeight="1">
      <c r="C882" s="26"/>
      <c r="D882" s="27"/>
      <c r="F882" s="25"/>
    </row>
    <row r="883" spans="3:6" ht="28.55" customHeight="1">
      <c r="C883" s="26"/>
      <c r="D883" s="27"/>
      <c r="F883" s="25"/>
    </row>
    <row r="884" spans="3:6" ht="28.55" customHeight="1">
      <c r="C884" s="26"/>
      <c r="D884" s="27"/>
      <c r="F884" s="25"/>
    </row>
    <row r="885" spans="3:6" ht="28.55" customHeight="1">
      <c r="C885" s="26"/>
      <c r="D885" s="27"/>
      <c r="F885" s="25"/>
    </row>
    <row r="886" spans="3:6" ht="28.55" customHeight="1">
      <c r="C886" s="26"/>
      <c r="D886" s="27"/>
      <c r="F886" s="25"/>
    </row>
    <row r="887" spans="3:6" ht="28.55" customHeight="1">
      <c r="C887" s="26"/>
      <c r="D887" s="27"/>
      <c r="F887" s="25"/>
    </row>
    <row r="888" spans="3:6" ht="28.55" customHeight="1">
      <c r="C888" s="26"/>
      <c r="D888" s="27"/>
      <c r="F888" s="25"/>
    </row>
    <row r="889" spans="3:6" ht="28.55" customHeight="1">
      <c r="C889" s="26"/>
      <c r="D889" s="27"/>
      <c r="F889" s="25"/>
    </row>
    <row r="890" spans="3:6" ht="28.55" customHeight="1">
      <c r="C890" s="26"/>
      <c r="D890" s="27"/>
      <c r="F890" s="25"/>
    </row>
    <row r="891" spans="3:6" ht="28.55" customHeight="1">
      <c r="C891" s="26"/>
      <c r="D891" s="27"/>
      <c r="F891" s="25"/>
    </row>
    <row r="892" spans="3:6" ht="28.55" customHeight="1">
      <c r="C892" s="26"/>
      <c r="D892" s="27"/>
      <c r="F892" s="25"/>
    </row>
    <row r="893" spans="3:6" ht="28.55" customHeight="1">
      <c r="C893" s="26"/>
      <c r="D893" s="27"/>
      <c r="F893" s="25"/>
    </row>
    <row r="894" spans="3:6" ht="28.55" customHeight="1">
      <c r="C894" s="26"/>
      <c r="D894" s="27"/>
      <c r="F894" s="25"/>
    </row>
    <row r="895" spans="3:6" ht="28.55" customHeight="1">
      <c r="C895" s="26"/>
      <c r="D895" s="27"/>
      <c r="F895" s="25"/>
    </row>
    <row r="896" spans="3:6" ht="28.55" customHeight="1">
      <c r="C896" s="26"/>
      <c r="D896" s="27"/>
      <c r="F896" s="25"/>
    </row>
    <row r="897" spans="3:6" ht="28.55" customHeight="1">
      <c r="C897" s="26"/>
      <c r="D897" s="27"/>
      <c r="F897" s="25"/>
    </row>
    <row r="898" spans="3:6" ht="28.55" customHeight="1">
      <c r="C898" s="26"/>
      <c r="D898" s="27"/>
      <c r="F898" s="25"/>
    </row>
    <row r="899" spans="3:6" ht="28.55" customHeight="1">
      <c r="C899" s="26"/>
      <c r="D899" s="27"/>
      <c r="F899" s="25"/>
    </row>
    <row r="900" spans="3:6" ht="28.55" customHeight="1">
      <c r="C900" s="26"/>
      <c r="D900" s="27"/>
      <c r="F900" s="25"/>
    </row>
    <row r="901" spans="3:6" ht="28.55" customHeight="1">
      <c r="C901" s="26"/>
      <c r="D901" s="27"/>
      <c r="F901" s="25"/>
    </row>
    <row r="902" spans="3:6" ht="28.55" customHeight="1">
      <c r="C902" s="26"/>
      <c r="D902" s="27"/>
      <c r="F902" s="25"/>
    </row>
    <row r="903" spans="3:6" ht="28.55" customHeight="1">
      <c r="C903" s="26"/>
      <c r="D903" s="27"/>
      <c r="F903" s="25"/>
    </row>
    <row r="904" spans="3:6" ht="28.55" customHeight="1">
      <c r="C904" s="26"/>
      <c r="D904" s="27"/>
      <c r="F904" s="25"/>
    </row>
    <row r="905" spans="3:6" ht="28.55" customHeight="1">
      <c r="C905" s="26"/>
      <c r="D905" s="27"/>
      <c r="F905" s="25"/>
    </row>
    <row r="906" spans="3:6" ht="28.55" customHeight="1">
      <c r="C906" s="26"/>
      <c r="D906" s="27"/>
      <c r="F906" s="25"/>
    </row>
    <row r="907" spans="3:6" ht="28.55" customHeight="1">
      <c r="C907" s="26"/>
      <c r="D907" s="27"/>
      <c r="F907" s="25"/>
    </row>
    <row r="908" spans="3:6" ht="28.55" customHeight="1">
      <c r="C908" s="26"/>
      <c r="D908" s="27"/>
      <c r="F908" s="25"/>
    </row>
    <row r="909" spans="3:6" ht="28.55" customHeight="1">
      <c r="C909" s="26"/>
      <c r="D909" s="27"/>
      <c r="F909" s="25"/>
    </row>
    <row r="910" spans="3:6" ht="28.55" customHeight="1">
      <c r="C910" s="26"/>
      <c r="D910" s="27"/>
      <c r="F910" s="25"/>
    </row>
    <row r="911" spans="3:6" ht="28.55" customHeight="1">
      <c r="C911" s="26"/>
      <c r="D911" s="27"/>
      <c r="F911" s="25"/>
    </row>
    <row r="912" spans="3:6" ht="28.55" customHeight="1">
      <c r="C912" s="26"/>
      <c r="D912" s="27"/>
      <c r="F912" s="25"/>
    </row>
    <row r="913" spans="3:6" ht="28.55" customHeight="1">
      <c r="C913" s="26"/>
      <c r="D913" s="27"/>
      <c r="F913" s="25"/>
    </row>
    <row r="914" spans="3:6" ht="28.55" customHeight="1">
      <c r="C914" s="26"/>
      <c r="D914" s="27"/>
      <c r="F914" s="25"/>
    </row>
    <row r="915" spans="3:6" ht="28.55" customHeight="1">
      <c r="C915" s="26"/>
      <c r="D915" s="27"/>
      <c r="F915" s="25"/>
    </row>
    <row r="916" spans="3:6" ht="28.55" customHeight="1">
      <c r="C916" s="26"/>
      <c r="D916" s="27"/>
      <c r="F916" s="25"/>
    </row>
    <row r="917" spans="3:6" ht="28.55" customHeight="1">
      <c r="C917" s="26"/>
      <c r="D917" s="27"/>
      <c r="F917" s="25"/>
    </row>
    <row r="918" spans="3:6" ht="28.55" customHeight="1">
      <c r="C918" s="26"/>
      <c r="D918" s="27"/>
      <c r="F918" s="25"/>
    </row>
    <row r="919" spans="3:6" ht="28.55" customHeight="1">
      <c r="C919" s="26"/>
      <c r="D919" s="27"/>
      <c r="F919" s="25"/>
    </row>
    <row r="920" spans="3:6" ht="28.55" customHeight="1">
      <c r="C920" s="26"/>
      <c r="D920" s="27"/>
      <c r="F920" s="25"/>
    </row>
    <row r="921" spans="3:6" ht="28.55" customHeight="1">
      <c r="C921" s="26"/>
      <c r="D921" s="27"/>
      <c r="F921" s="25"/>
    </row>
    <row r="922" spans="3:6" ht="28.55" customHeight="1">
      <c r="C922" s="26"/>
      <c r="D922" s="27"/>
      <c r="F922" s="25"/>
    </row>
    <row r="923" spans="3:6" ht="28.55" customHeight="1">
      <c r="C923" s="26"/>
      <c r="D923" s="27"/>
      <c r="F923" s="25"/>
    </row>
    <row r="924" spans="3:6" ht="28.55" customHeight="1">
      <c r="C924" s="26"/>
      <c r="D924" s="27"/>
      <c r="F924" s="25"/>
    </row>
    <row r="925" spans="3:6" ht="28.55" customHeight="1">
      <c r="C925" s="26"/>
      <c r="D925" s="27"/>
      <c r="F925" s="25"/>
    </row>
    <row r="926" spans="3:6" ht="28.55" customHeight="1">
      <c r="C926" s="26"/>
      <c r="D926" s="27"/>
      <c r="F926" s="25"/>
    </row>
    <row r="927" spans="3:6" ht="28.55" customHeight="1">
      <c r="C927" s="26"/>
      <c r="D927" s="27"/>
      <c r="F927" s="25"/>
    </row>
    <row r="928" spans="3:6" ht="28.55" customHeight="1">
      <c r="C928" s="26"/>
      <c r="D928" s="27"/>
      <c r="F928" s="25"/>
    </row>
    <row r="929" spans="3:6" ht="28.55" customHeight="1">
      <c r="C929" s="26"/>
      <c r="D929" s="27"/>
      <c r="F929" s="25"/>
    </row>
    <row r="930" spans="3:6" ht="28.55" customHeight="1">
      <c r="C930" s="26"/>
      <c r="D930" s="27"/>
      <c r="F930" s="25"/>
    </row>
    <row r="931" spans="3:6" ht="28.55" customHeight="1">
      <c r="C931" s="26"/>
      <c r="D931" s="27"/>
      <c r="F931" s="25"/>
    </row>
    <row r="932" spans="3:6" ht="28.55" customHeight="1">
      <c r="C932" s="26"/>
      <c r="D932" s="27"/>
      <c r="F932" s="25"/>
    </row>
    <row r="933" spans="3:6" ht="28.55" customHeight="1">
      <c r="C933" s="26"/>
      <c r="D933" s="27"/>
      <c r="F933" s="25"/>
    </row>
    <row r="934" spans="3:6" ht="28.55" customHeight="1">
      <c r="C934" s="26"/>
      <c r="D934" s="27"/>
      <c r="F934" s="25"/>
    </row>
    <row r="935" spans="3:6" ht="28.55" customHeight="1">
      <c r="C935" s="26"/>
      <c r="D935" s="27"/>
      <c r="F935" s="25"/>
    </row>
    <row r="936" spans="3:6" ht="28.55" customHeight="1">
      <c r="C936" s="26"/>
      <c r="D936" s="27"/>
      <c r="F936" s="25"/>
    </row>
    <row r="937" spans="3:6" ht="28.55" customHeight="1">
      <c r="C937" s="26"/>
      <c r="D937" s="27"/>
      <c r="F937" s="25"/>
    </row>
    <row r="938" spans="3:6" ht="28.55" customHeight="1">
      <c r="C938" s="26"/>
      <c r="D938" s="27"/>
      <c r="F938" s="25"/>
    </row>
    <row r="939" spans="3:6" ht="28.55" customHeight="1">
      <c r="C939" s="26"/>
      <c r="D939" s="27"/>
      <c r="F939" s="25"/>
    </row>
    <row r="940" spans="3:6" ht="28.55" customHeight="1">
      <c r="C940" s="26"/>
      <c r="D940" s="27"/>
      <c r="F940" s="25"/>
    </row>
    <row r="941" spans="3:6" ht="28.55" customHeight="1">
      <c r="C941" s="26"/>
      <c r="D941" s="27"/>
      <c r="F941" s="25"/>
    </row>
    <row r="942" spans="3:6" ht="28.55" customHeight="1">
      <c r="C942" s="26"/>
      <c r="D942" s="27"/>
      <c r="F942" s="25"/>
    </row>
    <row r="943" spans="3:6" ht="28.55" customHeight="1">
      <c r="C943" s="26"/>
      <c r="D943" s="27"/>
      <c r="F943" s="25"/>
    </row>
    <row r="944" spans="3:6" ht="28.55" customHeight="1">
      <c r="C944" s="26"/>
      <c r="D944" s="27"/>
      <c r="F944" s="25"/>
    </row>
    <row r="945" spans="3:6" ht="28.55" customHeight="1">
      <c r="C945" s="26"/>
      <c r="D945" s="27"/>
      <c r="F945" s="25"/>
    </row>
    <row r="946" spans="3:6" ht="28.55" customHeight="1">
      <c r="C946" s="26"/>
      <c r="D946" s="27"/>
      <c r="F946" s="25"/>
    </row>
    <row r="947" spans="3:6" ht="28.55" customHeight="1">
      <c r="C947" s="26"/>
      <c r="D947" s="27"/>
      <c r="F947" s="25"/>
    </row>
    <row r="948" spans="3:6" ht="28.55" customHeight="1">
      <c r="C948" s="26"/>
      <c r="D948" s="27"/>
      <c r="F948" s="25"/>
    </row>
    <row r="949" spans="3:6" ht="28.55" customHeight="1">
      <c r="C949" s="26"/>
      <c r="D949" s="27"/>
      <c r="F949" s="25"/>
    </row>
    <row r="950" spans="3:6" ht="28.55" customHeight="1">
      <c r="C950" s="26"/>
      <c r="D950" s="27"/>
      <c r="F950" s="25"/>
    </row>
    <row r="951" spans="3:6" ht="28.55" customHeight="1">
      <c r="C951" s="26"/>
      <c r="D951" s="27"/>
      <c r="F951" s="25"/>
    </row>
    <row r="952" spans="3:6" ht="28.55" customHeight="1">
      <c r="C952" s="26"/>
      <c r="D952" s="27"/>
      <c r="F952" s="25"/>
    </row>
    <row r="953" spans="3:6" ht="28.55" customHeight="1">
      <c r="C953" s="26"/>
      <c r="D953" s="27"/>
      <c r="F953" s="25"/>
    </row>
    <row r="954" spans="3:6" ht="28.55" customHeight="1">
      <c r="C954" s="26"/>
      <c r="D954" s="27"/>
      <c r="F954" s="25"/>
    </row>
    <row r="955" spans="3:6" ht="28.55" customHeight="1">
      <c r="C955" s="26"/>
      <c r="D955" s="27"/>
      <c r="F955" s="25"/>
    </row>
    <row r="956" spans="3:6" ht="28.55" customHeight="1">
      <c r="C956" s="26"/>
      <c r="D956" s="27"/>
      <c r="F956" s="25"/>
    </row>
    <row r="957" spans="3:6" ht="28.55" customHeight="1">
      <c r="C957" s="26"/>
      <c r="D957" s="27"/>
      <c r="F957" s="25"/>
    </row>
    <row r="958" spans="3:6" ht="28.55" customHeight="1">
      <c r="C958" s="26"/>
      <c r="D958" s="27"/>
      <c r="F958" s="25"/>
    </row>
    <row r="959" spans="3:6" ht="28.55" customHeight="1">
      <c r="C959" s="26"/>
      <c r="D959" s="27"/>
      <c r="F959" s="25"/>
    </row>
    <row r="960" spans="3:6" ht="28.55" customHeight="1">
      <c r="C960" s="26"/>
      <c r="D960" s="27"/>
      <c r="F960" s="25"/>
    </row>
    <row r="961" spans="3:6" ht="28.55" customHeight="1">
      <c r="C961" s="26"/>
      <c r="D961" s="27"/>
      <c r="F961" s="25"/>
    </row>
    <row r="962" spans="3:6" ht="28.55" customHeight="1">
      <c r="C962" s="26"/>
      <c r="D962" s="27"/>
      <c r="F962" s="25"/>
    </row>
    <row r="963" spans="3:6" ht="28.55" customHeight="1">
      <c r="C963" s="26"/>
      <c r="D963" s="27"/>
      <c r="F963" s="25"/>
    </row>
    <row r="964" spans="3:6" ht="28.55" customHeight="1">
      <c r="C964" s="26"/>
      <c r="D964" s="27"/>
      <c r="F964" s="25"/>
    </row>
    <row r="965" spans="3:6" ht="28.55" customHeight="1">
      <c r="C965" s="26"/>
      <c r="D965" s="27"/>
      <c r="F965" s="25"/>
    </row>
    <row r="966" spans="3:6" ht="28.55" customHeight="1">
      <c r="C966" s="26"/>
      <c r="D966" s="27"/>
      <c r="F966" s="25"/>
    </row>
    <row r="967" spans="3:6" ht="28.55" customHeight="1">
      <c r="C967" s="26"/>
      <c r="D967" s="27"/>
      <c r="F967" s="25"/>
    </row>
    <row r="968" spans="3:6" ht="28.55" customHeight="1">
      <c r="C968" s="26"/>
      <c r="D968" s="27"/>
      <c r="F968" s="25"/>
    </row>
    <row r="969" spans="3:6" ht="28.55" customHeight="1">
      <c r="C969" s="26"/>
      <c r="D969" s="27"/>
      <c r="F969" s="25"/>
    </row>
    <row r="970" spans="3:6" ht="28.55" customHeight="1">
      <c r="C970" s="26"/>
      <c r="D970" s="27"/>
      <c r="F970" s="25"/>
    </row>
    <row r="971" spans="3:6" ht="28.55" customHeight="1">
      <c r="C971" s="26"/>
      <c r="D971" s="27"/>
      <c r="F971" s="25"/>
    </row>
    <row r="972" spans="3:6" ht="28.55" customHeight="1">
      <c r="C972" s="26"/>
      <c r="D972" s="27"/>
      <c r="F972" s="25"/>
    </row>
    <row r="973" spans="3:6" ht="28.55" customHeight="1">
      <c r="C973" s="26"/>
      <c r="D973" s="27"/>
      <c r="F973" s="25"/>
    </row>
    <row r="974" spans="3:6" ht="28.55" customHeight="1">
      <c r="C974" s="26"/>
      <c r="D974" s="27"/>
      <c r="F974" s="25"/>
    </row>
    <row r="975" spans="3:6" ht="28.55" customHeight="1">
      <c r="C975" s="26"/>
      <c r="D975" s="27"/>
      <c r="F975" s="25"/>
    </row>
    <row r="976" spans="3:6" ht="28.55" customHeight="1">
      <c r="C976" s="26"/>
      <c r="D976" s="27"/>
      <c r="F976" s="25"/>
    </row>
    <row r="977" spans="3:6" ht="28.55" customHeight="1">
      <c r="C977" s="26"/>
      <c r="D977" s="27"/>
      <c r="F977" s="25"/>
    </row>
    <row r="978" spans="3:6" ht="28.55" customHeight="1">
      <c r="C978" s="26"/>
      <c r="D978" s="27"/>
      <c r="F978" s="25"/>
    </row>
    <row r="979" spans="3:6" ht="28.55" customHeight="1">
      <c r="C979" s="26"/>
      <c r="D979" s="27"/>
      <c r="F979" s="25"/>
    </row>
    <row r="980" spans="3:6" ht="28.55" customHeight="1">
      <c r="C980" s="26"/>
      <c r="D980" s="27"/>
      <c r="F980" s="25"/>
    </row>
    <row r="981" spans="3:6" ht="28.55" customHeight="1">
      <c r="C981" s="26"/>
      <c r="D981" s="27"/>
      <c r="F981" s="25"/>
    </row>
    <row r="982" spans="3:6" ht="28.55" customHeight="1">
      <c r="C982" s="26"/>
      <c r="D982" s="27"/>
      <c r="F982" s="25"/>
    </row>
    <row r="983" spans="3:6" ht="28.55" customHeight="1">
      <c r="C983" s="26"/>
      <c r="D983" s="27"/>
      <c r="F983" s="25"/>
    </row>
    <row r="984" spans="3:6" ht="28.55" customHeight="1">
      <c r="C984" s="26"/>
      <c r="D984" s="27"/>
      <c r="F984" s="25"/>
    </row>
    <row r="985" spans="3:6" ht="28.55" customHeight="1">
      <c r="C985" s="26"/>
      <c r="D985" s="27"/>
      <c r="F985" s="25"/>
    </row>
    <row r="986" spans="3:6" ht="28.55" customHeight="1">
      <c r="C986" s="26"/>
      <c r="D986" s="27"/>
      <c r="F986" s="25"/>
    </row>
    <row r="987" spans="3:6" ht="28.55" customHeight="1">
      <c r="C987" s="26"/>
      <c r="D987" s="27"/>
      <c r="F987" s="25"/>
    </row>
    <row r="988" spans="3:6" ht="28.55" customHeight="1">
      <c r="C988" s="26"/>
      <c r="D988" s="27"/>
      <c r="F988" s="25"/>
    </row>
    <row r="989" spans="3:6" ht="28.55" customHeight="1">
      <c r="C989" s="26"/>
      <c r="D989" s="27"/>
      <c r="F989" s="25"/>
    </row>
    <row r="990" spans="3:6" ht="28.55" customHeight="1">
      <c r="C990" s="26"/>
      <c r="D990" s="27"/>
      <c r="F990" s="25"/>
    </row>
    <row r="991" spans="3:6" ht="28.55" customHeight="1">
      <c r="C991" s="26"/>
      <c r="D991" s="27"/>
      <c r="F991" s="25"/>
    </row>
    <row r="992" spans="3:6" ht="28.55" customHeight="1">
      <c r="C992" s="26"/>
      <c r="D992" s="27"/>
      <c r="F992" s="25"/>
    </row>
    <row r="993" spans="3:6" ht="28.55" customHeight="1">
      <c r="C993" s="26"/>
      <c r="D993" s="27"/>
      <c r="F993" s="25"/>
    </row>
    <row r="994" spans="3:6" ht="28.55" customHeight="1">
      <c r="C994" s="26"/>
      <c r="D994" s="27"/>
      <c r="F994" s="25"/>
    </row>
    <row r="995" spans="3:6" ht="28.55" customHeight="1">
      <c r="C995" s="26"/>
      <c r="D995" s="27"/>
      <c r="F995" s="25"/>
    </row>
    <row r="996" spans="3:6" ht="28.55" customHeight="1">
      <c r="C996" s="26"/>
      <c r="D996" s="27"/>
      <c r="F996" s="25"/>
    </row>
    <row r="997" spans="3:6" ht="28.55" customHeight="1">
      <c r="C997" s="26"/>
      <c r="D997" s="27"/>
      <c r="F997" s="25"/>
    </row>
    <row r="998" spans="3:6" ht="28.55" customHeight="1">
      <c r="C998" s="26"/>
      <c r="D998" s="27"/>
      <c r="F998" s="25"/>
    </row>
    <row r="999" spans="3:6" ht="28.55" customHeight="1">
      <c r="C999" s="26"/>
      <c r="D999" s="27"/>
      <c r="F999" s="25"/>
    </row>
    <row r="1000" spans="3:6" ht="28.55" customHeight="1">
      <c r="C1000" s="26"/>
      <c r="D1000" s="27"/>
      <c r="F1000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רשימות!$B$2:$B$11</xm:f>
          </x14:formula1>
          <xm:sqref>F2:F1000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rightToLeft="1" workbookViewId="0"/>
  </sheetViews>
  <sheetFormatPr defaultColWidth="12.6640625" defaultRowHeight="15.7" customHeight="1"/>
  <cols>
    <col min="4" max="4" width="18" customWidth="1"/>
    <col min="7" max="7" width="18.9140625" customWidth="1"/>
  </cols>
  <sheetData>
    <row r="1" spans="1:7" ht="21.75" customHeight="1">
      <c r="A1" s="25" t="s">
        <v>106</v>
      </c>
      <c r="B1" s="25" t="s">
        <v>107</v>
      </c>
      <c r="C1" s="25" t="s">
        <v>108</v>
      </c>
      <c r="D1" s="25" t="s">
        <v>51</v>
      </c>
      <c r="E1" s="28" t="s">
        <v>109</v>
      </c>
      <c r="F1" s="25" t="s">
        <v>10</v>
      </c>
      <c r="G1" s="25" t="s">
        <v>110</v>
      </c>
    </row>
    <row r="2" spans="1:7" ht="21.75" customHeight="1">
      <c r="A2" s="29">
        <f ca="1">IFERROR(__xludf.DUMMYFUNCTION("ARRAYFORMULA(QUERY(SPLIT(FLATTEN(IF(('הוצאות'!$C$2:$H$100="""") + (ISERROR(VALUE('הוצאות'!$C$1:$H$1))), , DATE('הגדרות'!$B$2, VALUE('הוצאות'!$C$1:$H$1), 'הוצאות'!$A$2:$A$100) &amp; ""|"" &amp; 'הוצאות'!$C$1:$H$1 &amp; ""|"" &amp; 'הוצאות'!$A$2:$A$100 &amp; ""|"" &amp; 'הוצאות'!$"&amp;"C$2:$H$100 &amp; ""|"" &amp; 'הוצאות'!$B$2:$B$100 &amp; ""|"" &amp; 'הוצאות'!$I$2:$I$100)), ""|""), ""select * where Col1 is not null""))"),46103)</f>
        <v>46103</v>
      </c>
      <c r="B2" s="25">
        <f ca="1">IFERROR(__xludf.DUMMYFUNCTION("""COMPUTED_VALUE"""),3)</f>
        <v>3</v>
      </c>
      <c r="C2" s="25">
        <f ca="1">IFERROR(__xludf.DUMMYFUNCTION("""COMPUTED_VALUE"""),22)</f>
        <v>22</v>
      </c>
      <c r="D2" s="25">
        <f ca="1">IFERROR(__xludf.DUMMYFUNCTION("""COMPUTED_VALUE"""),15000)</f>
        <v>15000</v>
      </c>
      <c r="E2" s="28" t="str">
        <f ca="1">IFERROR(__xludf.DUMMYFUNCTION("""COMPUTED_VALUE"""),"הלוואה")</f>
        <v>הלוואה</v>
      </c>
      <c r="F2" s="25" t="str">
        <f ca="1">IFERROR(__xludf.DUMMYFUNCTION("""COMPUTED_VALUE"""),"הלוואה")</f>
        <v>הלוואה</v>
      </c>
      <c r="G2" s="25" t="str">
        <f t="array" ref="G2:G1000" ca="1">IF(E2:E1000="", , IFERROR(VLOOKUP(E2:E1000, רשימות!$D:$E, 2, FALSE), "אחר"))</f>
        <v>הלוואה</v>
      </c>
    </row>
    <row r="3" spans="1:7" ht="21.75" customHeight="1">
      <c r="A3" s="29">
        <f ca="1">IFERROR(__xludf.DUMMYFUNCTION("""COMPUTED_VALUE"""),46134)</f>
        <v>46134</v>
      </c>
      <c r="B3" s="25">
        <f ca="1">IFERROR(__xludf.DUMMYFUNCTION("""COMPUTED_VALUE"""),4)</f>
        <v>4</v>
      </c>
      <c r="C3" s="25">
        <f ca="1">IFERROR(__xludf.DUMMYFUNCTION("""COMPUTED_VALUE"""),22)</f>
        <v>22</v>
      </c>
      <c r="D3" s="25">
        <f ca="1">IFERROR(__xludf.DUMMYFUNCTION("""COMPUTED_VALUE"""),40000)</f>
        <v>40000</v>
      </c>
      <c r="E3" s="28" t="str">
        <f ca="1">IFERROR(__xludf.DUMMYFUNCTION("""COMPUTED_VALUE"""),"הלוואה")</f>
        <v>הלוואה</v>
      </c>
      <c r="F3" s="25" t="str">
        <f ca="1">IFERROR(__xludf.DUMMYFUNCTION("""COMPUTED_VALUE"""),"הלוואה")</f>
        <v>הלוואה</v>
      </c>
      <c r="G3" s="25" t="str">
        <f ca="1"/>
        <v>הלוואה</v>
      </c>
    </row>
    <row r="4" spans="1:7" ht="21.75" customHeight="1">
      <c r="A4" s="29">
        <f ca="1">IFERROR(__xludf.DUMMYFUNCTION("""COMPUTED_VALUE"""),46164)</f>
        <v>46164</v>
      </c>
      <c r="B4" s="25">
        <f ca="1">IFERROR(__xludf.DUMMYFUNCTION("""COMPUTED_VALUE"""),5)</f>
        <v>5</v>
      </c>
      <c r="C4" s="25">
        <f ca="1">IFERROR(__xludf.DUMMYFUNCTION("""COMPUTED_VALUE"""),22)</f>
        <v>22</v>
      </c>
      <c r="D4" s="25">
        <f ca="1">IFERROR(__xludf.DUMMYFUNCTION("""COMPUTED_VALUE"""),20000)</f>
        <v>20000</v>
      </c>
      <c r="E4" s="28" t="str">
        <f ca="1">IFERROR(__xludf.DUMMYFUNCTION("""COMPUTED_VALUE"""),"הלוואה")</f>
        <v>הלוואה</v>
      </c>
      <c r="F4" s="25" t="str">
        <f ca="1">IFERROR(__xludf.DUMMYFUNCTION("""COMPUTED_VALUE"""),"הלוואה")</f>
        <v>הלוואה</v>
      </c>
      <c r="G4" s="25" t="str">
        <f ca="1"/>
        <v>הלוואה</v>
      </c>
    </row>
    <row r="5" spans="1:7" ht="21.75" customHeight="1">
      <c r="A5" s="29">
        <f ca="1">IFERROR(__xludf.DUMMYFUNCTION("""COMPUTED_VALUE"""),46195)</f>
        <v>46195</v>
      </c>
      <c r="B5" s="25">
        <f ca="1">IFERROR(__xludf.DUMMYFUNCTION("""COMPUTED_VALUE"""),6)</f>
        <v>6</v>
      </c>
      <c r="C5" s="25">
        <f ca="1">IFERROR(__xludf.DUMMYFUNCTION("""COMPUTED_VALUE"""),22)</f>
        <v>22</v>
      </c>
      <c r="D5" s="25">
        <f ca="1">IFERROR(__xludf.DUMMYFUNCTION("""COMPUTED_VALUE"""),15000)</f>
        <v>15000</v>
      </c>
      <c r="E5" s="28" t="str">
        <f ca="1">IFERROR(__xludf.DUMMYFUNCTION("""COMPUTED_VALUE"""),"הלוואה")</f>
        <v>הלוואה</v>
      </c>
      <c r="F5" s="25" t="str">
        <f ca="1">IFERROR(__xludf.DUMMYFUNCTION("""COMPUTED_VALUE"""),"הלוואה")</f>
        <v>הלוואה</v>
      </c>
      <c r="G5" s="25" t="str">
        <f ca="1"/>
        <v>הלוואה</v>
      </c>
    </row>
    <row r="6" spans="1:7" ht="21.75" customHeight="1">
      <c r="A6" s="29">
        <f ca="1">IFERROR(__xludf.DUMMYFUNCTION("""COMPUTED_VALUE"""),46083)</f>
        <v>46083</v>
      </c>
      <c r="B6" s="25">
        <f ca="1">IFERROR(__xludf.DUMMYFUNCTION("""COMPUTED_VALUE"""),3)</f>
        <v>3</v>
      </c>
      <c r="C6" s="25">
        <f ca="1">IFERROR(__xludf.DUMMYFUNCTION("""COMPUTED_VALUE"""),2)</f>
        <v>2</v>
      </c>
      <c r="D6" s="25">
        <f ca="1">IFERROR(__xludf.DUMMYFUNCTION("""COMPUTED_VALUE"""),15000)</f>
        <v>15000</v>
      </c>
      <c r="E6" s="28" t="str">
        <f ca="1">IFERROR(__xludf.DUMMYFUNCTION("""COMPUTED_VALUE"""),"הלוואה")</f>
        <v>הלוואה</v>
      </c>
      <c r="F6" s="25" t="str">
        <f ca="1">IFERROR(__xludf.DUMMYFUNCTION("""COMPUTED_VALUE"""),"הלוואה")</f>
        <v>הלוואה</v>
      </c>
      <c r="G6" s="25" t="str">
        <f ca="1"/>
        <v>הלוואה</v>
      </c>
    </row>
    <row r="7" spans="1:7" ht="21.75" customHeight="1">
      <c r="A7" s="29">
        <f ca="1">IFERROR(__xludf.DUMMYFUNCTION("""COMPUTED_VALUE"""),46082)</f>
        <v>46082</v>
      </c>
      <c r="B7" s="25">
        <f ca="1">IFERROR(__xludf.DUMMYFUNCTION("""COMPUTED_VALUE"""),3)</f>
        <v>3</v>
      </c>
      <c r="C7" s="25">
        <f ca="1">IFERROR(__xludf.DUMMYFUNCTION("""COMPUTED_VALUE"""),1)</f>
        <v>1</v>
      </c>
      <c r="D7" s="25">
        <f ca="1">IFERROR(__xludf.DUMMYFUNCTION("""COMPUTED_VALUE"""),56000)</f>
        <v>56000</v>
      </c>
      <c r="E7" s="28" t="str">
        <f ca="1">IFERROR(__xludf.DUMMYFUNCTION("""COMPUTED_VALUE"""),"שכר")</f>
        <v>שכר</v>
      </c>
      <c r="F7" s="25" t="str">
        <f ca="1">IFERROR(__xludf.DUMMYFUNCTION("""COMPUTED_VALUE"""),"שכר מטה")</f>
        <v>שכר מטה</v>
      </c>
      <c r="G7" s="25" t="str">
        <f ca="1"/>
        <v>שכר</v>
      </c>
    </row>
    <row r="8" spans="1:7" ht="21.75" customHeight="1">
      <c r="A8" s="29">
        <f ca="1">IFERROR(__xludf.DUMMYFUNCTION("""COMPUTED_VALUE"""),46113)</f>
        <v>46113</v>
      </c>
      <c r="B8" s="25">
        <f ca="1">IFERROR(__xludf.DUMMYFUNCTION("""COMPUTED_VALUE"""),4)</f>
        <v>4</v>
      </c>
      <c r="C8" s="25">
        <f ca="1">IFERROR(__xludf.DUMMYFUNCTION("""COMPUTED_VALUE"""),1)</f>
        <v>1</v>
      </c>
      <c r="D8" s="25">
        <f ca="1">IFERROR(__xludf.DUMMYFUNCTION("""COMPUTED_VALUE"""),60000)</f>
        <v>60000</v>
      </c>
      <c r="E8" s="28" t="str">
        <f ca="1">IFERROR(__xludf.DUMMYFUNCTION("""COMPUTED_VALUE"""),"שכר")</f>
        <v>שכר</v>
      </c>
      <c r="F8" s="25" t="str">
        <f ca="1">IFERROR(__xludf.DUMMYFUNCTION("""COMPUTED_VALUE"""),"שכר מטה")</f>
        <v>שכר מטה</v>
      </c>
      <c r="G8" s="25" t="str">
        <f ca="1"/>
        <v>שכר</v>
      </c>
    </row>
    <row r="9" spans="1:7" ht="21.75" customHeight="1">
      <c r="A9" s="29">
        <f ca="1">IFERROR(__xludf.DUMMYFUNCTION("""COMPUTED_VALUE"""),46143)</f>
        <v>46143</v>
      </c>
      <c r="B9" s="25">
        <f ca="1">IFERROR(__xludf.DUMMYFUNCTION("""COMPUTED_VALUE"""),5)</f>
        <v>5</v>
      </c>
      <c r="C9" s="25">
        <f ca="1">IFERROR(__xludf.DUMMYFUNCTION("""COMPUTED_VALUE"""),1)</f>
        <v>1</v>
      </c>
      <c r="D9" s="25">
        <f ca="1">IFERROR(__xludf.DUMMYFUNCTION("""COMPUTED_VALUE"""),60000)</f>
        <v>60000</v>
      </c>
      <c r="E9" s="28" t="str">
        <f ca="1">IFERROR(__xludf.DUMMYFUNCTION("""COMPUTED_VALUE"""),"שכר")</f>
        <v>שכר</v>
      </c>
      <c r="F9" s="25" t="str">
        <f ca="1">IFERROR(__xludf.DUMMYFUNCTION("""COMPUTED_VALUE"""),"שכר מטה")</f>
        <v>שכר מטה</v>
      </c>
      <c r="G9" s="25" t="str">
        <f ca="1"/>
        <v>שכר</v>
      </c>
    </row>
    <row r="10" spans="1:7" ht="21.75" customHeight="1">
      <c r="A10" s="29">
        <f ca="1">IFERROR(__xludf.DUMMYFUNCTION("""COMPUTED_VALUE"""),46174)</f>
        <v>46174</v>
      </c>
      <c r="B10" s="25">
        <f ca="1">IFERROR(__xludf.DUMMYFUNCTION("""COMPUTED_VALUE"""),6)</f>
        <v>6</v>
      </c>
      <c r="C10" s="25">
        <f ca="1">IFERROR(__xludf.DUMMYFUNCTION("""COMPUTED_VALUE"""),1)</f>
        <v>1</v>
      </c>
      <c r="D10" s="25">
        <f ca="1">IFERROR(__xludf.DUMMYFUNCTION("""COMPUTED_VALUE"""),85000)</f>
        <v>85000</v>
      </c>
      <c r="E10" s="28" t="str">
        <f ca="1">IFERROR(__xludf.DUMMYFUNCTION("""COMPUTED_VALUE"""),"שכר")</f>
        <v>שכר</v>
      </c>
      <c r="F10" s="25" t="str">
        <f ca="1">IFERROR(__xludf.DUMMYFUNCTION("""COMPUTED_VALUE"""),"שכר מטה")</f>
        <v>שכר מטה</v>
      </c>
      <c r="G10" s="25" t="str">
        <f ca="1"/>
        <v>שכר</v>
      </c>
    </row>
    <row r="11" spans="1:7" ht="21.75" customHeight="1">
      <c r="A11" s="29">
        <f ca="1">IFERROR(__xludf.DUMMYFUNCTION("""COMPUTED_VALUE"""),46204)</f>
        <v>46204</v>
      </c>
      <c r="B11" s="25">
        <f ca="1">IFERROR(__xludf.DUMMYFUNCTION("""COMPUTED_VALUE"""),7)</f>
        <v>7</v>
      </c>
      <c r="C11" s="25">
        <f ca="1">IFERROR(__xludf.DUMMYFUNCTION("""COMPUTED_VALUE"""),1)</f>
        <v>1</v>
      </c>
      <c r="D11" s="25">
        <f ca="1">IFERROR(__xludf.DUMMYFUNCTION("""COMPUTED_VALUE"""),75000)</f>
        <v>75000</v>
      </c>
      <c r="E11" s="28" t="str">
        <f ca="1">IFERROR(__xludf.DUMMYFUNCTION("""COMPUTED_VALUE"""),"שכר")</f>
        <v>שכר</v>
      </c>
      <c r="F11" s="25" t="str">
        <f ca="1">IFERROR(__xludf.DUMMYFUNCTION("""COMPUTED_VALUE"""),"שכר מטה")</f>
        <v>שכר מטה</v>
      </c>
      <c r="G11" s="25" t="str">
        <f ca="1"/>
        <v>שכר</v>
      </c>
    </row>
    <row r="12" spans="1:7" ht="21.75" customHeight="1">
      <c r="A12" s="29">
        <f ca="1">IFERROR(__xludf.DUMMYFUNCTION("""COMPUTED_VALUE"""),46235)</f>
        <v>46235</v>
      </c>
      <c r="B12" s="25">
        <f ca="1">IFERROR(__xludf.DUMMYFUNCTION("""COMPUTED_VALUE"""),8)</f>
        <v>8</v>
      </c>
      <c r="C12" s="25">
        <f ca="1">IFERROR(__xludf.DUMMYFUNCTION("""COMPUTED_VALUE"""),1)</f>
        <v>1</v>
      </c>
      <c r="D12" s="25">
        <f ca="1">IFERROR(__xludf.DUMMYFUNCTION("""COMPUTED_VALUE"""),60000)</f>
        <v>60000</v>
      </c>
      <c r="E12" s="28" t="str">
        <f ca="1">IFERROR(__xludf.DUMMYFUNCTION("""COMPUTED_VALUE"""),"שכר")</f>
        <v>שכר</v>
      </c>
      <c r="F12" s="25" t="str">
        <f ca="1">IFERROR(__xludf.DUMMYFUNCTION("""COMPUTED_VALUE"""),"שכר מטה")</f>
        <v>שכר מטה</v>
      </c>
      <c r="G12" s="25" t="str">
        <f ca="1"/>
        <v>שכר</v>
      </c>
    </row>
    <row r="13" spans="1:7" ht="21.75" customHeight="1">
      <c r="A13" s="29">
        <f ca="1">IFERROR(__xludf.DUMMYFUNCTION("""COMPUTED_VALUE"""),46082)</f>
        <v>46082</v>
      </c>
      <c r="B13" s="25">
        <f ca="1">IFERROR(__xludf.DUMMYFUNCTION("""COMPUTED_VALUE"""),3)</f>
        <v>3</v>
      </c>
      <c r="C13" s="25">
        <f ca="1">IFERROR(__xludf.DUMMYFUNCTION("""COMPUTED_VALUE"""),1)</f>
        <v>1</v>
      </c>
      <c r="D13" s="25">
        <f ca="1">IFERROR(__xludf.DUMMYFUNCTION("""COMPUTED_VALUE"""),16520)</f>
        <v>16520</v>
      </c>
      <c r="E13" s="28" t="str">
        <f ca="1">IFERROR(__xludf.DUMMYFUNCTION("""COMPUTED_VALUE"""),"שכר")</f>
        <v>שכר</v>
      </c>
      <c r="F13" s="25" t="str">
        <f ca="1">IFERROR(__xludf.DUMMYFUNCTION("""COMPUTED_VALUE"""),"שכר בסיס (יעל אביב)")</f>
        <v>שכר בסיס (יעל אביב)</v>
      </c>
      <c r="G13" s="25" t="str">
        <f ca="1"/>
        <v>שכר</v>
      </c>
    </row>
    <row r="14" spans="1:7" ht="21.75" customHeight="1">
      <c r="A14" s="29">
        <f ca="1">IFERROR(__xludf.DUMMYFUNCTION("""COMPUTED_VALUE"""),46113)</f>
        <v>46113</v>
      </c>
      <c r="B14" s="25">
        <f ca="1">IFERROR(__xludf.DUMMYFUNCTION("""COMPUTED_VALUE"""),4)</f>
        <v>4</v>
      </c>
      <c r="C14" s="25">
        <f ca="1">IFERROR(__xludf.DUMMYFUNCTION("""COMPUTED_VALUE"""),1)</f>
        <v>1</v>
      </c>
      <c r="D14" s="25">
        <f ca="1">IFERROR(__xludf.DUMMYFUNCTION("""COMPUTED_VALUE"""),16520)</f>
        <v>16520</v>
      </c>
      <c r="E14" s="28" t="str">
        <f ca="1">IFERROR(__xludf.DUMMYFUNCTION("""COMPUTED_VALUE"""),"שכר")</f>
        <v>שכר</v>
      </c>
      <c r="F14" s="25" t="str">
        <f ca="1">IFERROR(__xludf.DUMMYFUNCTION("""COMPUTED_VALUE"""),"שכר בסיס (יעל אביב)")</f>
        <v>שכר בסיס (יעל אביב)</v>
      </c>
      <c r="G14" s="25" t="str">
        <f ca="1"/>
        <v>שכר</v>
      </c>
    </row>
    <row r="15" spans="1:7" ht="21.75" customHeight="1">
      <c r="A15" s="29">
        <f ca="1">IFERROR(__xludf.DUMMYFUNCTION("""COMPUTED_VALUE"""),46143)</f>
        <v>46143</v>
      </c>
      <c r="B15" s="25">
        <f ca="1">IFERROR(__xludf.DUMMYFUNCTION("""COMPUTED_VALUE"""),5)</f>
        <v>5</v>
      </c>
      <c r="C15" s="25">
        <f ca="1">IFERROR(__xludf.DUMMYFUNCTION("""COMPUTED_VALUE"""),1)</f>
        <v>1</v>
      </c>
      <c r="D15" s="25">
        <f ca="1">IFERROR(__xludf.DUMMYFUNCTION("""COMPUTED_VALUE"""),16520)</f>
        <v>16520</v>
      </c>
      <c r="E15" s="28" t="str">
        <f ca="1">IFERROR(__xludf.DUMMYFUNCTION("""COMPUTED_VALUE"""),"שכר")</f>
        <v>שכר</v>
      </c>
      <c r="F15" s="25" t="str">
        <f ca="1">IFERROR(__xludf.DUMMYFUNCTION("""COMPUTED_VALUE"""),"שכר בסיס (יעל אביב)")</f>
        <v>שכר בסיס (יעל אביב)</v>
      </c>
      <c r="G15" s="25" t="str">
        <f ca="1"/>
        <v>שכר</v>
      </c>
    </row>
    <row r="16" spans="1:7" ht="21.75" customHeight="1">
      <c r="A16" s="29">
        <f ca="1">IFERROR(__xludf.DUMMYFUNCTION("""COMPUTED_VALUE"""),46174)</f>
        <v>46174</v>
      </c>
      <c r="B16" s="25">
        <f ca="1">IFERROR(__xludf.DUMMYFUNCTION("""COMPUTED_VALUE"""),6)</f>
        <v>6</v>
      </c>
      <c r="C16" s="25">
        <f ca="1">IFERROR(__xludf.DUMMYFUNCTION("""COMPUTED_VALUE"""),1)</f>
        <v>1</v>
      </c>
      <c r="D16" s="25">
        <f ca="1">IFERROR(__xludf.DUMMYFUNCTION("""COMPUTED_VALUE"""),16520)</f>
        <v>16520</v>
      </c>
      <c r="E16" s="28" t="str">
        <f ca="1">IFERROR(__xludf.DUMMYFUNCTION("""COMPUTED_VALUE"""),"שכר")</f>
        <v>שכר</v>
      </c>
      <c r="F16" s="25" t="str">
        <f ca="1">IFERROR(__xludf.DUMMYFUNCTION("""COMPUTED_VALUE"""),"שכר בסיס (יעל אביב)")</f>
        <v>שכר בסיס (יעל אביב)</v>
      </c>
      <c r="G16" s="25" t="str">
        <f ca="1"/>
        <v>שכר</v>
      </c>
    </row>
    <row r="17" spans="1:7" ht="21.75" customHeight="1">
      <c r="A17" s="29">
        <f ca="1">IFERROR(__xludf.DUMMYFUNCTION("""COMPUTED_VALUE"""),46204)</f>
        <v>46204</v>
      </c>
      <c r="B17" s="25">
        <f ca="1">IFERROR(__xludf.DUMMYFUNCTION("""COMPUTED_VALUE"""),7)</f>
        <v>7</v>
      </c>
      <c r="C17" s="25">
        <f ca="1">IFERROR(__xludf.DUMMYFUNCTION("""COMPUTED_VALUE"""),1)</f>
        <v>1</v>
      </c>
      <c r="D17" s="25">
        <f ca="1">IFERROR(__xludf.DUMMYFUNCTION("""COMPUTED_VALUE"""),16520)</f>
        <v>16520</v>
      </c>
      <c r="E17" s="28" t="str">
        <f ca="1">IFERROR(__xludf.DUMMYFUNCTION("""COMPUTED_VALUE"""),"שכר")</f>
        <v>שכר</v>
      </c>
      <c r="F17" s="25" t="str">
        <f ca="1">IFERROR(__xludf.DUMMYFUNCTION("""COMPUTED_VALUE"""),"שכר בסיס (יעל אביב)")</f>
        <v>שכר בסיס (יעל אביב)</v>
      </c>
      <c r="G17" s="25" t="str">
        <f ca="1"/>
        <v>שכר</v>
      </c>
    </row>
    <row r="18" spans="1:7" ht="21.75" customHeight="1">
      <c r="A18" s="29">
        <f ca="1">IFERROR(__xludf.DUMMYFUNCTION("""COMPUTED_VALUE"""),46235)</f>
        <v>46235</v>
      </c>
      <c r="B18" s="25">
        <f ca="1">IFERROR(__xludf.DUMMYFUNCTION("""COMPUTED_VALUE"""),8)</f>
        <v>8</v>
      </c>
      <c r="C18" s="25">
        <f ca="1">IFERROR(__xludf.DUMMYFUNCTION("""COMPUTED_VALUE"""),1)</f>
        <v>1</v>
      </c>
      <c r="D18" s="25">
        <f ca="1">IFERROR(__xludf.DUMMYFUNCTION("""COMPUTED_VALUE"""),16520)</f>
        <v>16520</v>
      </c>
      <c r="E18" s="28" t="str">
        <f ca="1">IFERROR(__xludf.DUMMYFUNCTION("""COMPUTED_VALUE"""),"שכר")</f>
        <v>שכר</v>
      </c>
      <c r="F18" s="25" t="str">
        <f ca="1">IFERROR(__xludf.DUMMYFUNCTION("""COMPUTED_VALUE"""),"שכר בסיס (יעל אביב)")</f>
        <v>שכר בסיס (יעל אביב)</v>
      </c>
      <c r="G18" s="25" t="str">
        <f ca="1"/>
        <v>שכר</v>
      </c>
    </row>
    <row r="19" spans="1:7" ht="21.75" customHeight="1">
      <c r="A19" s="29">
        <f ca="1">IFERROR(__xludf.DUMMYFUNCTION("""COMPUTED_VALUE"""),46086)</f>
        <v>46086</v>
      </c>
      <c r="B19" s="25">
        <f ca="1">IFERROR(__xludf.DUMMYFUNCTION("""COMPUTED_VALUE"""),3)</f>
        <v>3</v>
      </c>
      <c r="C19" s="25">
        <f ca="1">IFERROR(__xludf.DUMMYFUNCTION("""COMPUTED_VALUE"""),5)</f>
        <v>5</v>
      </c>
      <c r="D19" s="25">
        <f ca="1">IFERROR(__xludf.DUMMYFUNCTION("""COMPUTED_VALUE"""),55000)</f>
        <v>55000</v>
      </c>
      <c r="E19" s="28" t="str">
        <f ca="1">IFERROR(__xludf.DUMMYFUNCTION("""COMPUTED_VALUE"""),"שכר מדריכים")</f>
        <v>שכר מדריכים</v>
      </c>
      <c r="F19" s="25" t="str">
        <f ca="1">IFERROR(__xludf.DUMMYFUNCTION("""COMPUTED_VALUE"""),"שכר מדריכים")</f>
        <v>שכר מדריכים</v>
      </c>
      <c r="G19" s="25" t="str">
        <f ca="1"/>
        <v>שכר</v>
      </c>
    </row>
    <row r="20" spans="1:7" ht="21.75" customHeight="1">
      <c r="A20" s="29">
        <f ca="1">IFERROR(__xludf.DUMMYFUNCTION("""COMPUTED_VALUE"""),46117)</f>
        <v>46117</v>
      </c>
      <c r="B20" s="25">
        <f ca="1">IFERROR(__xludf.DUMMYFUNCTION("""COMPUTED_VALUE"""),4)</f>
        <v>4</v>
      </c>
      <c r="C20" s="25">
        <f ca="1">IFERROR(__xludf.DUMMYFUNCTION("""COMPUTED_VALUE"""),5)</f>
        <v>5</v>
      </c>
      <c r="D20" s="25">
        <f ca="1">IFERROR(__xludf.DUMMYFUNCTION("""COMPUTED_VALUE"""),60000)</f>
        <v>60000</v>
      </c>
      <c r="E20" s="28" t="str">
        <f ca="1">IFERROR(__xludf.DUMMYFUNCTION("""COMPUTED_VALUE"""),"שכר מדריכים")</f>
        <v>שכר מדריכים</v>
      </c>
      <c r="F20" s="25" t="str">
        <f ca="1">IFERROR(__xludf.DUMMYFUNCTION("""COMPUTED_VALUE"""),"שכר מדריכים")</f>
        <v>שכר מדריכים</v>
      </c>
      <c r="G20" s="25" t="str">
        <f ca="1"/>
        <v>שכר</v>
      </c>
    </row>
    <row r="21" spans="1:7" ht="21.75" customHeight="1">
      <c r="A21" s="29">
        <f ca="1">IFERROR(__xludf.DUMMYFUNCTION("""COMPUTED_VALUE"""),46147)</f>
        <v>46147</v>
      </c>
      <c r="B21" s="25">
        <f ca="1">IFERROR(__xludf.DUMMYFUNCTION("""COMPUTED_VALUE"""),5)</f>
        <v>5</v>
      </c>
      <c r="C21" s="25">
        <f ca="1">IFERROR(__xludf.DUMMYFUNCTION("""COMPUTED_VALUE"""),5)</f>
        <v>5</v>
      </c>
      <c r="D21" s="25">
        <f ca="1">IFERROR(__xludf.DUMMYFUNCTION("""COMPUTED_VALUE"""),40000)</f>
        <v>40000</v>
      </c>
      <c r="E21" s="28" t="str">
        <f ca="1">IFERROR(__xludf.DUMMYFUNCTION("""COMPUTED_VALUE"""),"שכר מדריכים")</f>
        <v>שכר מדריכים</v>
      </c>
      <c r="F21" s="25" t="str">
        <f ca="1">IFERROR(__xludf.DUMMYFUNCTION("""COMPUTED_VALUE"""),"שכר מדריכים")</f>
        <v>שכר מדריכים</v>
      </c>
      <c r="G21" s="25" t="str">
        <f ca="1"/>
        <v>שכר</v>
      </c>
    </row>
    <row r="22" spans="1:7" ht="21.75" customHeight="1">
      <c r="A22" s="29">
        <f ca="1">IFERROR(__xludf.DUMMYFUNCTION("""COMPUTED_VALUE"""),46178)</f>
        <v>46178</v>
      </c>
      <c r="B22" s="25">
        <f ca="1">IFERROR(__xludf.DUMMYFUNCTION("""COMPUTED_VALUE"""),6)</f>
        <v>6</v>
      </c>
      <c r="C22" s="25">
        <f ca="1">IFERROR(__xludf.DUMMYFUNCTION("""COMPUTED_VALUE"""),5)</f>
        <v>5</v>
      </c>
      <c r="D22" s="25">
        <f ca="1">IFERROR(__xludf.DUMMYFUNCTION("""COMPUTED_VALUE"""),30000)</f>
        <v>30000</v>
      </c>
      <c r="E22" s="28" t="str">
        <f ca="1">IFERROR(__xludf.DUMMYFUNCTION("""COMPUTED_VALUE"""),"שכר מדריכים")</f>
        <v>שכר מדריכים</v>
      </c>
      <c r="F22" s="25" t="str">
        <f ca="1">IFERROR(__xludf.DUMMYFUNCTION("""COMPUTED_VALUE"""),"שכר מדריכים")</f>
        <v>שכר מדריכים</v>
      </c>
      <c r="G22" s="25" t="str">
        <f ca="1"/>
        <v>שכר</v>
      </c>
    </row>
    <row r="23" spans="1:7" ht="21.75" customHeight="1">
      <c r="A23" s="29">
        <f ca="1">IFERROR(__xludf.DUMMYFUNCTION("""COMPUTED_VALUE"""),46208)</f>
        <v>46208</v>
      </c>
      <c r="B23" s="25">
        <f ca="1">IFERROR(__xludf.DUMMYFUNCTION("""COMPUTED_VALUE"""),7)</f>
        <v>7</v>
      </c>
      <c r="C23" s="25">
        <f ca="1">IFERROR(__xludf.DUMMYFUNCTION("""COMPUTED_VALUE"""),5)</f>
        <v>5</v>
      </c>
      <c r="D23" s="25">
        <f ca="1">IFERROR(__xludf.DUMMYFUNCTION("""COMPUTED_VALUE"""),10000)</f>
        <v>10000</v>
      </c>
      <c r="E23" s="28" t="str">
        <f ca="1">IFERROR(__xludf.DUMMYFUNCTION("""COMPUTED_VALUE"""),"שכר מדריכים")</f>
        <v>שכר מדריכים</v>
      </c>
      <c r="F23" s="25" t="str">
        <f ca="1">IFERROR(__xludf.DUMMYFUNCTION("""COMPUTED_VALUE"""),"שכר מדריכים")</f>
        <v>שכר מדריכים</v>
      </c>
      <c r="G23" s="25" t="str">
        <f ca="1"/>
        <v>שכר</v>
      </c>
    </row>
    <row r="24" spans="1:7" ht="21.75" customHeight="1">
      <c r="A24" s="29">
        <f ca="1">IFERROR(__xludf.DUMMYFUNCTION("""COMPUTED_VALUE"""),46095)</f>
        <v>46095</v>
      </c>
      <c r="B24" s="25">
        <f ca="1">IFERROR(__xludf.DUMMYFUNCTION("""COMPUTED_VALUE"""),3)</f>
        <v>3</v>
      </c>
      <c r="C24" s="25">
        <f ca="1">IFERROR(__xludf.DUMMYFUNCTION("""COMPUTED_VALUE"""),14)</f>
        <v>14</v>
      </c>
      <c r="D24" s="25">
        <f ca="1">IFERROR(__xludf.DUMMYFUNCTION("""COMPUTED_VALUE"""),45000)</f>
        <v>45000</v>
      </c>
      <c r="E24" s="28" t="str">
        <f ca="1">IFERROR(__xludf.DUMMYFUNCTION("""COMPUTED_VALUE"""),"שכר מדריכים")</f>
        <v>שכר מדריכים</v>
      </c>
      <c r="F24" s="25" t="str">
        <f ca="1">IFERROR(__xludf.DUMMYFUNCTION("""COMPUTED_VALUE"""),"שכר מדריכים-כ""א")</f>
        <v>שכר מדריכים-כ"א</v>
      </c>
      <c r="G24" s="25" t="str">
        <f ca="1"/>
        <v>שכר</v>
      </c>
    </row>
    <row r="25" spans="1:7" ht="21.75" customHeight="1">
      <c r="A25" s="29">
        <f ca="1">IFERROR(__xludf.DUMMYFUNCTION("""COMPUTED_VALUE"""),46126)</f>
        <v>46126</v>
      </c>
      <c r="B25" s="25">
        <f ca="1">IFERROR(__xludf.DUMMYFUNCTION("""COMPUTED_VALUE"""),4)</f>
        <v>4</v>
      </c>
      <c r="C25" s="25">
        <f ca="1">IFERROR(__xludf.DUMMYFUNCTION("""COMPUTED_VALUE"""),14)</f>
        <v>14</v>
      </c>
      <c r="D25" s="25">
        <f ca="1">IFERROR(__xludf.DUMMYFUNCTION("""COMPUTED_VALUE"""),30000)</f>
        <v>30000</v>
      </c>
      <c r="E25" s="28" t="str">
        <f ca="1">IFERROR(__xludf.DUMMYFUNCTION("""COMPUTED_VALUE"""),"שכר מדריכים")</f>
        <v>שכר מדריכים</v>
      </c>
      <c r="F25" s="25" t="str">
        <f ca="1">IFERROR(__xludf.DUMMYFUNCTION("""COMPUTED_VALUE"""),"שכר מדריכים-כ""א")</f>
        <v>שכר מדריכים-כ"א</v>
      </c>
      <c r="G25" s="25" t="str">
        <f ca="1"/>
        <v>שכר</v>
      </c>
    </row>
    <row r="26" spans="1:7" ht="21.75" customHeight="1">
      <c r="A26" s="29">
        <f ca="1">IFERROR(__xludf.DUMMYFUNCTION("""COMPUTED_VALUE"""),46156)</f>
        <v>46156</v>
      </c>
      <c r="B26" s="25">
        <f ca="1">IFERROR(__xludf.DUMMYFUNCTION("""COMPUTED_VALUE"""),5)</f>
        <v>5</v>
      </c>
      <c r="C26" s="25">
        <f ca="1">IFERROR(__xludf.DUMMYFUNCTION("""COMPUTED_VALUE"""),14)</f>
        <v>14</v>
      </c>
      <c r="D26" s="25">
        <f ca="1">IFERROR(__xludf.DUMMYFUNCTION("""COMPUTED_VALUE"""),15400)</f>
        <v>15400</v>
      </c>
      <c r="E26" s="28" t="str">
        <f ca="1">IFERROR(__xludf.DUMMYFUNCTION("""COMPUTED_VALUE"""),"שכר מדריכים")</f>
        <v>שכר מדריכים</v>
      </c>
      <c r="F26" s="25" t="str">
        <f ca="1">IFERROR(__xludf.DUMMYFUNCTION("""COMPUTED_VALUE"""),"שכר מדריכים-כ""א")</f>
        <v>שכר מדריכים-כ"א</v>
      </c>
      <c r="G26" s="25" t="str">
        <f ca="1"/>
        <v>שכר</v>
      </c>
    </row>
    <row r="27" spans="1:7" ht="21.75" customHeight="1">
      <c r="A27" s="29">
        <f ca="1">IFERROR(__xludf.DUMMYFUNCTION("""COMPUTED_VALUE"""),46187)</f>
        <v>46187</v>
      </c>
      <c r="B27" s="25">
        <f ca="1">IFERROR(__xludf.DUMMYFUNCTION("""COMPUTED_VALUE"""),6)</f>
        <v>6</v>
      </c>
      <c r="C27" s="25">
        <f ca="1">IFERROR(__xludf.DUMMYFUNCTION("""COMPUTED_VALUE"""),14)</f>
        <v>14</v>
      </c>
      <c r="D27" s="25">
        <f ca="1">IFERROR(__xludf.DUMMYFUNCTION("""COMPUTED_VALUE"""),10000)</f>
        <v>10000</v>
      </c>
      <c r="E27" s="28" t="str">
        <f ca="1">IFERROR(__xludf.DUMMYFUNCTION("""COMPUTED_VALUE"""),"שכר מדריכים")</f>
        <v>שכר מדריכים</v>
      </c>
      <c r="F27" s="25" t="str">
        <f ca="1">IFERROR(__xludf.DUMMYFUNCTION("""COMPUTED_VALUE"""),"שכר מדריכים-כ""א")</f>
        <v>שכר מדריכים-כ"א</v>
      </c>
      <c r="G27" s="25" t="str">
        <f ca="1"/>
        <v>שכר</v>
      </c>
    </row>
    <row r="28" spans="1:7" ht="21.75" customHeight="1">
      <c r="A28" s="29">
        <f ca="1">IFERROR(__xludf.DUMMYFUNCTION("""COMPUTED_VALUE"""),46217)</f>
        <v>46217</v>
      </c>
      <c r="B28" s="25">
        <f ca="1">IFERROR(__xludf.DUMMYFUNCTION("""COMPUTED_VALUE"""),7)</f>
        <v>7</v>
      </c>
      <c r="C28" s="25">
        <f ca="1">IFERROR(__xludf.DUMMYFUNCTION("""COMPUTED_VALUE"""),14)</f>
        <v>14</v>
      </c>
      <c r="D28" s="25">
        <f ca="1">IFERROR(__xludf.DUMMYFUNCTION("""COMPUTED_VALUE"""),5000)</f>
        <v>5000</v>
      </c>
      <c r="E28" s="28" t="str">
        <f ca="1">IFERROR(__xludf.DUMMYFUNCTION("""COMPUTED_VALUE"""),"שכר מדריכים")</f>
        <v>שכר מדריכים</v>
      </c>
      <c r="F28" s="25" t="str">
        <f ca="1">IFERROR(__xludf.DUMMYFUNCTION("""COMPUTED_VALUE"""),"שכר מדריכים-כ""א")</f>
        <v>שכר מדריכים-כ"א</v>
      </c>
      <c r="G28" s="25" t="str">
        <f ca="1"/>
        <v>שכר</v>
      </c>
    </row>
    <row r="29" spans="1:7" ht="21.75" customHeight="1">
      <c r="A29" s="29">
        <f ca="1">IFERROR(__xludf.DUMMYFUNCTION("""COMPUTED_VALUE"""),46093)</f>
        <v>46093</v>
      </c>
      <c r="B29" s="25">
        <f ca="1">IFERROR(__xludf.DUMMYFUNCTION("""COMPUTED_VALUE"""),3)</f>
        <v>3</v>
      </c>
      <c r="C29" s="25">
        <f ca="1">IFERROR(__xludf.DUMMYFUNCTION("""COMPUTED_VALUE"""),12)</f>
        <v>12</v>
      </c>
      <c r="D29" s="25">
        <f ca="1">IFERROR(__xludf.DUMMYFUNCTION("""COMPUTED_VALUE"""),30000)</f>
        <v>30000</v>
      </c>
      <c r="E29" s="28" t="str">
        <f ca="1">IFERROR(__xludf.DUMMYFUNCTION("""COMPUTED_VALUE"""),"נלוות לשכר")</f>
        <v>נלוות לשכר</v>
      </c>
      <c r="F29" s="25" t="str">
        <f ca="1">IFERROR(__xludf.DUMMYFUNCTION("""COMPUTED_VALUE"""),"גמל ופנסיה")</f>
        <v>גמל ופנסיה</v>
      </c>
      <c r="G29" s="25" t="str">
        <f ca="1"/>
        <v>שכר</v>
      </c>
    </row>
    <row r="30" spans="1:7" ht="21.75" customHeight="1">
      <c r="A30" s="29">
        <f ca="1">IFERROR(__xludf.DUMMYFUNCTION("""COMPUTED_VALUE"""),46124)</f>
        <v>46124</v>
      </c>
      <c r="B30" s="25">
        <f ca="1">IFERROR(__xludf.DUMMYFUNCTION("""COMPUTED_VALUE"""),4)</f>
        <v>4</v>
      </c>
      <c r="C30" s="25">
        <f ca="1">IFERROR(__xludf.DUMMYFUNCTION("""COMPUTED_VALUE"""),12)</f>
        <v>12</v>
      </c>
      <c r="D30" s="25">
        <f ca="1">IFERROR(__xludf.DUMMYFUNCTION("""COMPUTED_VALUE"""),25000)</f>
        <v>25000</v>
      </c>
      <c r="E30" s="28" t="str">
        <f ca="1">IFERROR(__xludf.DUMMYFUNCTION("""COMPUTED_VALUE"""),"נלוות לשכר")</f>
        <v>נלוות לשכר</v>
      </c>
      <c r="F30" s="25" t="str">
        <f ca="1">IFERROR(__xludf.DUMMYFUNCTION("""COMPUTED_VALUE"""),"גמל ופנסיה")</f>
        <v>גמל ופנסיה</v>
      </c>
      <c r="G30" s="25" t="str">
        <f ca="1"/>
        <v>שכר</v>
      </c>
    </row>
    <row r="31" spans="1:7" ht="21.75" customHeight="1">
      <c r="A31" s="29">
        <f ca="1">IFERROR(__xludf.DUMMYFUNCTION("""COMPUTED_VALUE"""),46154)</f>
        <v>46154</v>
      </c>
      <c r="B31" s="25">
        <f ca="1">IFERROR(__xludf.DUMMYFUNCTION("""COMPUTED_VALUE"""),5)</f>
        <v>5</v>
      </c>
      <c r="C31" s="25">
        <f ca="1">IFERROR(__xludf.DUMMYFUNCTION("""COMPUTED_VALUE"""),12)</f>
        <v>12</v>
      </c>
      <c r="D31" s="25">
        <f ca="1">IFERROR(__xludf.DUMMYFUNCTION("""COMPUTED_VALUE"""),20000)</f>
        <v>20000</v>
      </c>
      <c r="E31" s="28" t="str">
        <f ca="1">IFERROR(__xludf.DUMMYFUNCTION("""COMPUTED_VALUE"""),"נלוות לשכר")</f>
        <v>נלוות לשכר</v>
      </c>
      <c r="F31" s="25" t="str">
        <f ca="1">IFERROR(__xludf.DUMMYFUNCTION("""COMPUTED_VALUE"""),"גמל ופנסיה")</f>
        <v>גמל ופנסיה</v>
      </c>
      <c r="G31" s="25" t="str">
        <f ca="1"/>
        <v>שכר</v>
      </c>
    </row>
    <row r="32" spans="1:7" ht="21.75" customHeight="1">
      <c r="A32" s="29">
        <f ca="1">IFERROR(__xludf.DUMMYFUNCTION("""COMPUTED_VALUE"""),46185)</f>
        <v>46185</v>
      </c>
      <c r="B32" s="25">
        <f ca="1">IFERROR(__xludf.DUMMYFUNCTION("""COMPUTED_VALUE"""),6)</f>
        <v>6</v>
      </c>
      <c r="C32" s="25">
        <f ca="1">IFERROR(__xludf.DUMMYFUNCTION("""COMPUTED_VALUE"""),12)</f>
        <v>12</v>
      </c>
      <c r="D32" s="25">
        <f ca="1">IFERROR(__xludf.DUMMYFUNCTION("""COMPUTED_VALUE"""),20000)</f>
        <v>20000</v>
      </c>
      <c r="E32" s="28" t="str">
        <f ca="1">IFERROR(__xludf.DUMMYFUNCTION("""COMPUTED_VALUE"""),"נלוות לשכר")</f>
        <v>נלוות לשכר</v>
      </c>
      <c r="F32" s="25" t="str">
        <f ca="1">IFERROR(__xludf.DUMMYFUNCTION("""COMPUTED_VALUE"""),"גמל ופנסיה")</f>
        <v>גמל ופנסיה</v>
      </c>
      <c r="G32" s="25" t="str">
        <f ca="1"/>
        <v>שכר</v>
      </c>
    </row>
    <row r="33" spans="1:7" ht="21.75" customHeight="1">
      <c r="A33" s="29">
        <f ca="1">IFERROR(__xludf.DUMMYFUNCTION("""COMPUTED_VALUE"""),46215)</f>
        <v>46215</v>
      </c>
      <c r="B33" s="25">
        <f ca="1">IFERROR(__xludf.DUMMYFUNCTION("""COMPUTED_VALUE"""),7)</f>
        <v>7</v>
      </c>
      <c r="C33" s="25">
        <f ca="1">IFERROR(__xludf.DUMMYFUNCTION("""COMPUTED_VALUE"""),12)</f>
        <v>12</v>
      </c>
      <c r="D33" s="25">
        <f ca="1">IFERROR(__xludf.DUMMYFUNCTION("""COMPUTED_VALUE"""),17000)</f>
        <v>17000</v>
      </c>
      <c r="E33" s="28" t="str">
        <f ca="1">IFERROR(__xludf.DUMMYFUNCTION("""COMPUTED_VALUE"""),"נלוות לשכר")</f>
        <v>נלוות לשכר</v>
      </c>
      <c r="F33" s="25" t="str">
        <f ca="1">IFERROR(__xludf.DUMMYFUNCTION("""COMPUTED_VALUE"""),"גמל ופנסיה")</f>
        <v>גמל ופנסיה</v>
      </c>
      <c r="G33" s="25" t="str">
        <f ca="1"/>
        <v>שכר</v>
      </c>
    </row>
    <row r="34" spans="1:7" ht="21.75" customHeight="1">
      <c r="A34" s="29">
        <f ca="1">IFERROR(__xludf.DUMMYFUNCTION("""COMPUTED_VALUE"""),46246)</f>
        <v>46246</v>
      </c>
      <c r="B34" s="25">
        <f ca="1">IFERROR(__xludf.DUMMYFUNCTION("""COMPUTED_VALUE"""),8)</f>
        <v>8</v>
      </c>
      <c r="C34" s="25">
        <f ca="1">IFERROR(__xludf.DUMMYFUNCTION("""COMPUTED_VALUE"""),12)</f>
        <v>12</v>
      </c>
      <c r="D34" s="25">
        <f ca="1">IFERROR(__xludf.DUMMYFUNCTION("""COMPUTED_VALUE"""),17000)</f>
        <v>17000</v>
      </c>
      <c r="E34" s="28" t="str">
        <f ca="1">IFERROR(__xludf.DUMMYFUNCTION("""COMPUTED_VALUE"""),"נלוות לשכר")</f>
        <v>נלוות לשכר</v>
      </c>
      <c r="F34" s="25" t="str">
        <f ca="1">IFERROR(__xludf.DUMMYFUNCTION("""COMPUTED_VALUE"""),"גמל ופנסיה")</f>
        <v>גמל ופנסיה</v>
      </c>
      <c r="G34" s="25" t="str">
        <f ca="1"/>
        <v>שכר</v>
      </c>
    </row>
    <row r="35" spans="1:7" ht="21.75" customHeight="1">
      <c r="A35" s="29">
        <f ca="1">IFERROR(__xludf.DUMMYFUNCTION("""COMPUTED_VALUE"""),46101)</f>
        <v>46101</v>
      </c>
      <c r="B35" s="25">
        <f ca="1">IFERROR(__xludf.DUMMYFUNCTION("""COMPUTED_VALUE"""),3)</f>
        <v>3</v>
      </c>
      <c r="C35" s="25">
        <f ca="1">IFERROR(__xludf.DUMMYFUNCTION("""COMPUTED_VALUE"""),20)</f>
        <v>20</v>
      </c>
      <c r="D35" s="25">
        <f ca="1">IFERROR(__xludf.DUMMYFUNCTION("""COMPUTED_VALUE"""),15000)</f>
        <v>15000</v>
      </c>
      <c r="E35" s="28" t="str">
        <f ca="1">IFERROR(__xludf.DUMMYFUNCTION("""COMPUTED_VALUE"""),"נלוות לשכר")</f>
        <v>נלוות לשכר</v>
      </c>
      <c r="F35" s="25" t="str">
        <f ca="1">IFERROR(__xludf.DUMMYFUNCTION("""COMPUTED_VALUE"""),"ביטוח לאומי")</f>
        <v>ביטוח לאומי</v>
      </c>
      <c r="G35" s="25" t="str">
        <f ca="1"/>
        <v>שכר</v>
      </c>
    </row>
    <row r="36" spans="1:7" ht="21.75" customHeight="1">
      <c r="A36" s="29">
        <f ca="1">IFERROR(__xludf.DUMMYFUNCTION("""COMPUTED_VALUE"""),46132)</f>
        <v>46132</v>
      </c>
      <c r="B36" s="25">
        <f ca="1">IFERROR(__xludf.DUMMYFUNCTION("""COMPUTED_VALUE"""),4)</f>
        <v>4</v>
      </c>
      <c r="C36" s="25">
        <f ca="1">IFERROR(__xludf.DUMMYFUNCTION("""COMPUTED_VALUE"""),20)</f>
        <v>20</v>
      </c>
      <c r="D36" s="25">
        <f ca="1">IFERROR(__xludf.DUMMYFUNCTION("""COMPUTED_VALUE"""),15000)</f>
        <v>15000</v>
      </c>
      <c r="E36" s="28" t="str">
        <f ca="1">IFERROR(__xludf.DUMMYFUNCTION("""COMPUTED_VALUE"""),"נלוות לשכר")</f>
        <v>נלוות לשכר</v>
      </c>
      <c r="F36" s="25" t="str">
        <f ca="1">IFERROR(__xludf.DUMMYFUNCTION("""COMPUTED_VALUE"""),"ביטוח לאומי")</f>
        <v>ביטוח לאומי</v>
      </c>
      <c r="G36" s="25" t="str">
        <f ca="1"/>
        <v>שכר</v>
      </c>
    </row>
    <row r="37" spans="1:7" ht="21.75" customHeight="1">
      <c r="A37" s="29">
        <f ca="1">IFERROR(__xludf.DUMMYFUNCTION("""COMPUTED_VALUE"""),46162)</f>
        <v>46162</v>
      </c>
      <c r="B37" s="25">
        <f ca="1">IFERROR(__xludf.DUMMYFUNCTION("""COMPUTED_VALUE"""),5)</f>
        <v>5</v>
      </c>
      <c r="C37" s="25">
        <f ca="1">IFERROR(__xludf.DUMMYFUNCTION("""COMPUTED_VALUE"""),20)</f>
        <v>20</v>
      </c>
      <c r="D37" s="25">
        <f ca="1">IFERROR(__xludf.DUMMYFUNCTION("""COMPUTED_VALUE"""),12000)</f>
        <v>12000</v>
      </c>
      <c r="E37" s="28" t="str">
        <f ca="1">IFERROR(__xludf.DUMMYFUNCTION("""COMPUTED_VALUE"""),"נלוות לשכר")</f>
        <v>נלוות לשכר</v>
      </c>
      <c r="F37" s="25" t="str">
        <f ca="1">IFERROR(__xludf.DUMMYFUNCTION("""COMPUTED_VALUE"""),"ביטוח לאומי")</f>
        <v>ביטוח לאומי</v>
      </c>
      <c r="G37" s="25" t="str">
        <f ca="1"/>
        <v>שכר</v>
      </c>
    </row>
    <row r="38" spans="1:7" ht="21.75" customHeight="1">
      <c r="A38" s="29">
        <f ca="1">IFERROR(__xludf.DUMMYFUNCTION("""COMPUTED_VALUE"""),46193)</f>
        <v>46193</v>
      </c>
      <c r="B38" s="25">
        <f ca="1">IFERROR(__xludf.DUMMYFUNCTION("""COMPUTED_VALUE"""),6)</f>
        <v>6</v>
      </c>
      <c r="C38" s="25">
        <f ca="1">IFERROR(__xludf.DUMMYFUNCTION("""COMPUTED_VALUE"""),20)</f>
        <v>20</v>
      </c>
      <c r="D38" s="25">
        <f ca="1">IFERROR(__xludf.DUMMYFUNCTION("""COMPUTED_VALUE"""),12000)</f>
        <v>12000</v>
      </c>
      <c r="E38" s="28" t="str">
        <f ca="1">IFERROR(__xludf.DUMMYFUNCTION("""COMPUTED_VALUE"""),"נלוות לשכר")</f>
        <v>נלוות לשכר</v>
      </c>
      <c r="F38" s="25" t="str">
        <f ca="1">IFERROR(__xludf.DUMMYFUNCTION("""COMPUTED_VALUE"""),"ביטוח לאומי")</f>
        <v>ביטוח לאומי</v>
      </c>
      <c r="G38" s="25" t="str">
        <f ca="1"/>
        <v>שכר</v>
      </c>
    </row>
    <row r="39" spans="1:7" ht="21.75" customHeight="1">
      <c r="A39" s="29">
        <f ca="1">IFERROR(__xludf.DUMMYFUNCTION("""COMPUTED_VALUE"""),46223)</f>
        <v>46223</v>
      </c>
      <c r="B39" s="25">
        <f ca="1">IFERROR(__xludf.DUMMYFUNCTION("""COMPUTED_VALUE"""),7)</f>
        <v>7</v>
      </c>
      <c r="C39" s="25">
        <f ca="1">IFERROR(__xludf.DUMMYFUNCTION("""COMPUTED_VALUE"""),20)</f>
        <v>20</v>
      </c>
      <c r="D39" s="25">
        <f ca="1">IFERROR(__xludf.DUMMYFUNCTION("""COMPUTED_VALUE"""),12000)</f>
        <v>12000</v>
      </c>
      <c r="E39" s="28" t="str">
        <f ca="1">IFERROR(__xludf.DUMMYFUNCTION("""COMPUTED_VALUE"""),"נלוות לשכר")</f>
        <v>נלוות לשכר</v>
      </c>
      <c r="F39" s="25" t="str">
        <f ca="1">IFERROR(__xludf.DUMMYFUNCTION("""COMPUTED_VALUE"""),"ביטוח לאומי")</f>
        <v>ביטוח לאומי</v>
      </c>
      <c r="G39" s="25" t="str">
        <f ca="1"/>
        <v>שכר</v>
      </c>
    </row>
    <row r="40" spans="1:7" ht="21.75" customHeight="1">
      <c r="A40" s="29">
        <f ca="1">IFERROR(__xludf.DUMMYFUNCTION("""COMPUTED_VALUE"""),46254)</f>
        <v>46254</v>
      </c>
      <c r="B40" s="25">
        <f ca="1">IFERROR(__xludf.DUMMYFUNCTION("""COMPUTED_VALUE"""),8)</f>
        <v>8</v>
      </c>
      <c r="C40" s="25">
        <f ca="1">IFERROR(__xludf.DUMMYFUNCTION("""COMPUTED_VALUE"""),20)</f>
        <v>20</v>
      </c>
      <c r="D40" s="25">
        <f ca="1">IFERROR(__xludf.DUMMYFUNCTION("""COMPUTED_VALUE"""),12000)</f>
        <v>12000</v>
      </c>
      <c r="E40" s="28" t="str">
        <f ca="1">IFERROR(__xludf.DUMMYFUNCTION("""COMPUTED_VALUE"""),"נלוות לשכר")</f>
        <v>נלוות לשכר</v>
      </c>
      <c r="F40" s="25" t="str">
        <f ca="1">IFERROR(__xludf.DUMMYFUNCTION("""COMPUTED_VALUE"""),"ביטוח לאומי")</f>
        <v>ביטוח לאומי</v>
      </c>
      <c r="G40" s="25" t="str">
        <f ca="1"/>
        <v>שכר</v>
      </c>
    </row>
    <row r="41" spans="1:7" ht="21.75" customHeight="1">
      <c r="A41" s="29">
        <f ca="1">IFERROR(__xludf.DUMMYFUNCTION("""COMPUTED_VALUE"""),46101)</f>
        <v>46101</v>
      </c>
      <c r="B41" s="25">
        <f ca="1">IFERROR(__xludf.DUMMYFUNCTION("""COMPUTED_VALUE"""),3)</f>
        <v>3</v>
      </c>
      <c r="C41" s="25">
        <f ca="1">IFERROR(__xludf.DUMMYFUNCTION("""COMPUTED_VALUE"""),20)</f>
        <v>20</v>
      </c>
      <c r="D41" s="25">
        <f ca="1">IFERROR(__xludf.DUMMYFUNCTION("""COMPUTED_VALUE"""),13000)</f>
        <v>13000</v>
      </c>
      <c r="E41" s="28" t="str">
        <f ca="1">IFERROR(__xludf.DUMMYFUNCTION("""COMPUTED_VALUE"""),"נלוות לשכר")</f>
        <v>נלוות לשכר</v>
      </c>
      <c r="F41" s="25" t="str">
        <f ca="1">IFERROR(__xludf.DUMMYFUNCTION("""COMPUTED_VALUE"""),"מס הכנסה")</f>
        <v>מס הכנסה</v>
      </c>
      <c r="G41" s="25" t="str">
        <f ca="1"/>
        <v>שכר</v>
      </c>
    </row>
    <row r="42" spans="1:7" ht="21.75" customHeight="1">
      <c r="A42" s="29">
        <f ca="1">IFERROR(__xludf.DUMMYFUNCTION("""COMPUTED_VALUE"""),46132)</f>
        <v>46132</v>
      </c>
      <c r="B42" s="25">
        <f ca="1">IFERROR(__xludf.DUMMYFUNCTION("""COMPUTED_VALUE"""),4)</f>
        <v>4</v>
      </c>
      <c r="C42" s="25">
        <f ca="1">IFERROR(__xludf.DUMMYFUNCTION("""COMPUTED_VALUE"""),20)</f>
        <v>20</v>
      </c>
      <c r="D42" s="25">
        <f ca="1">IFERROR(__xludf.DUMMYFUNCTION("""COMPUTED_VALUE"""),13000)</f>
        <v>13000</v>
      </c>
      <c r="E42" s="28" t="str">
        <f ca="1">IFERROR(__xludf.DUMMYFUNCTION("""COMPUTED_VALUE"""),"נלוות לשכר")</f>
        <v>נלוות לשכר</v>
      </c>
      <c r="F42" s="25" t="str">
        <f ca="1">IFERROR(__xludf.DUMMYFUNCTION("""COMPUTED_VALUE"""),"מס הכנסה")</f>
        <v>מס הכנסה</v>
      </c>
      <c r="G42" s="25" t="str">
        <f ca="1"/>
        <v>שכר</v>
      </c>
    </row>
    <row r="43" spans="1:7" ht="21.75" customHeight="1">
      <c r="A43" s="29">
        <f ca="1">IFERROR(__xludf.DUMMYFUNCTION("""COMPUTED_VALUE"""),46162)</f>
        <v>46162</v>
      </c>
      <c r="B43" s="25">
        <f ca="1">IFERROR(__xludf.DUMMYFUNCTION("""COMPUTED_VALUE"""),5)</f>
        <v>5</v>
      </c>
      <c r="C43" s="25">
        <f ca="1">IFERROR(__xludf.DUMMYFUNCTION("""COMPUTED_VALUE"""),20)</f>
        <v>20</v>
      </c>
      <c r="D43" s="25">
        <f ca="1">IFERROR(__xludf.DUMMYFUNCTION("""COMPUTED_VALUE"""),13000)</f>
        <v>13000</v>
      </c>
      <c r="E43" s="28" t="str">
        <f ca="1">IFERROR(__xludf.DUMMYFUNCTION("""COMPUTED_VALUE"""),"נלוות לשכר")</f>
        <v>נלוות לשכר</v>
      </c>
      <c r="F43" s="25" t="str">
        <f ca="1">IFERROR(__xludf.DUMMYFUNCTION("""COMPUTED_VALUE"""),"מס הכנסה")</f>
        <v>מס הכנסה</v>
      </c>
      <c r="G43" s="25" t="str">
        <f ca="1"/>
        <v>שכר</v>
      </c>
    </row>
    <row r="44" spans="1:7" ht="21.75" customHeight="1">
      <c r="A44" s="29">
        <f ca="1">IFERROR(__xludf.DUMMYFUNCTION("""COMPUTED_VALUE"""),46193)</f>
        <v>46193</v>
      </c>
      <c r="B44" s="25">
        <f ca="1">IFERROR(__xludf.DUMMYFUNCTION("""COMPUTED_VALUE"""),6)</f>
        <v>6</v>
      </c>
      <c r="C44" s="25">
        <f ca="1">IFERROR(__xludf.DUMMYFUNCTION("""COMPUTED_VALUE"""),20)</f>
        <v>20</v>
      </c>
      <c r="D44" s="25">
        <f ca="1">IFERROR(__xludf.DUMMYFUNCTION("""COMPUTED_VALUE"""),13000)</f>
        <v>13000</v>
      </c>
      <c r="E44" s="28" t="str">
        <f ca="1">IFERROR(__xludf.DUMMYFUNCTION("""COMPUTED_VALUE"""),"נלוות לשכר")</f>
        <v>נלוות לשכר</v>
      </c>
      <c r="F44" s="25" t="str">
        <f ca="1">IFERROR(__xludf.DUMMYFUNCTION("""COMPUTED_VALUE"""),"מס הכנסה")</f>
        <v>מס הכנסה</v>
      </c>
      <c r="G44" s="25" t="str">
        <f ca="1"/>
        <v>שכר</v>
      </c>
    </row>
    <row r="45" spans="1:7" ht="21.75" customHeight="1">
      <c r="A45" s="29">
        <f ca="1">IFERROR(__xludf.DUMMYFUNCTION("""COMPUTED_VALUE"""),46223)</f>
        <v>46223</v>
      </c>
      <c r="B45" s="25">
        <f ca="1">IFERROR(__xludf.DUMMYFUNCTION("""COMPUTED_VALUE"""),7)</f>
        <v>7</v>
      </c>
      <c r="C45" s="25">
        <f ca="1">IFERROR(__xludf.DUMMYFUNCTION("""COMPUTED_VALUE"""),20)</f>
        <v>20</v>
      </c>
      <c r="D45" s="25">
        <f ca="1">IFERROR(__xludf.DUMMYFUNCTION("""COMPUTED_VALUE"""),13000)</f>
        <v>13000</v>
      </c>
      <c r="E45" s="28" t="str">
        <f ca="1">IFERROR(__xludf.DUMMYFUNCTION("""COMPUTED_VALUE"""),"נלוות לשכר")</f>
        <v>נלוות לשכר</v>
      </c>
      <c r="F45" s="25" t="str">
        <f ca="1">IFERROR(__xludf.DUMMYFUNCTION("""COMPUTED_VALUE"""),"מס הכנסה")</f>
        <v>מס הכנסה</v>
      </c>
      <c r="G45" s="25" t="str">
        <f ca="1"/>
        <v>שכר</v>
      </c>
    </row>
    <row r="46" spans="1:7" ht="21.75" customHeight="1">
      <c r="A46" s="29">
        <f ca="1">IFERROR(__xludf.DUMMYFUNCTION("""COMPUTED_VALUE"""),46254)</f>
        <v>46254</v>
      </c>
      <c r="B46" s="25">
        <f ca="1">IFERROR(__xludf.DUMMYFUNCTION("""COMPUTED_VALUE"""),8)</f>
        <v>8</v>
      </c>
      <c r="C46" s="25">
        <f ca="1">IFERROR(__xludf.DUMMYFUNCTION("""COMPUTED_VALUE"""),20)</f>
        <v>20</v>
      </c>
      <c r="D46" s="25">
        <f ca="1">IFERROR(__xludf.DUMMYFUNCTION("""COMPUTED_VALUE"""),13000)</f>
        <v>13000</v>
      </c>
      <c r="E46" s="28" t="str">
        <f ca="1">IFERROR(__xludf.DUMMYFUNCTION("""COMPUTED_VALUE"""),"נלוות לשכר")</f>
        <v>נלוות לשכר</v>
      </c>
      <c r="F46" s="25" t="str">
        <f ca="1">IFERROR(__xludf.DUMMYFUNCTION("""COMPUTED_VALUE"""),"מס הכנסה")</f>
        <v>מס הכנסה</v>
      </c>
      <c r="G46" s="25" t="str">
        <f ca="1"/>
        <v>שכר</v>
      </c>
    </row>
    <row r="47" spans="1:7" ht="21.75" customHeight="1">
      <c r="A47" s="29">
        <f ca="1">IFERROR(__xludf.DUMMYFUNCTION("""COMPUTED_VALUE"""),46096)</f>
        <v>46096</v>
      </c>
      <c r="B47" s="25">
        <f ca="1">IFERROR(__xludf.DUMMYFUNCTION("""COMPUTED_VALUE"""),3)</f>
        <v>3</v>
      </c>
      <c r="C47" s="25">
        <f ca="1">IFERROR(__xludf.DUMMYFUNCTION("""COMPUTED_VALUE"""),15)</f>
        <v>15</v>
      </c>
      <c r="D47" s="25">
        <f ca="1">IFERROR(__xludf.DUMMYFUNCTION("""COMPUTED_VALUE"""),22656)</f>
        <v>22656</v>
      </c>
      <c r="E47" s="28" t="str">
        <f ca="1">IFERROR(__xludf.DUMMYFUNCTION("""COMPUTED_VALUE"""),"עמלות (יעל אביב)")</f>
        <v>עמלות (יעל אביב)</v>
      </c>
      <c r="F47" s="25" t="str">
        <f ca="1">IFERROR(__xludf.DUMMYFUNCTION("""COMPUTED_VALUE"""),"עמלות (יעל אביב)")</f>
        <v>עמלות (יעל אביב)</v>
      </c>
      <c r="G47" s="25" t="str">
        <f ca="1"/>
        <v>עמלות</v>
      </c>
    </row>
    <row r="48" spans="1:7" ht="21.75" customHeight="1">
      <c r="A48" s="29">
        <f ca="1">IFERROR(__xludf.DUMMYFUNCTION("""COMPUTED_VALUE"""),46127)</f>
        <v>46127</v>
      </c>
      <c r="B48" s="25">
        <f ca="1">IFERROR(__xludf.DUMMYFUNCTION("""COMPUTED_VALUE"""),4)</f>
        <v>4</v>
      </c>
      <c r="C48" s="25">
        <f ca="1">IFERROR(__xludf.DUMMYFUNCTION("""COMPUTED_VALUE"""),15)</f>
        <v>15</v>
      </c>
      <c r="D48" s="25">
        <f ca="1">IFERROR(__xludf.DUMMYFUNCTION("""COMPUTED_VALUE"""),15429)</f>
        <v>15429</v>
      </c>
      <c r="E48" s="28" t="str">
        <f ca="1">IFERROR(__xludf.DUMMYFUNCTION("""COMPUTED_VALUE"""),"עמלות (יעל אביב)")</f>
        <v>עמלות (יעל אביב)</v>
      </c>
      <c r="F48" s="25" t="str">
        <f ca="1">IFERROR(__xludf.DUMMYFUNCTION("""COMPUTED_VALUE"""),"עמלות (יעל אביב)")</f>
        <v>עמלות (יעל אביב)</v>
      </c>
      <c r="G48" s="25" t="str">
        <f ca="1"/>
        <v>עמלות</v>
      </c>
    </row>
    <row r="49" spans="1:7" ht="21.75" customHeight="1">
      <c r="A49" s="29">
        <f ca="1">IFERROR(__xludf.DUMMYFUNCTION("""COMPUTED_VALUE"""),46157)</f>
        <v>46157</v>
      </c>
      <c r="B49" s="25">
        <f ca="1">IFERROR(__xludf.DUMMYFUNCTION("""COMPUTED_VALUE"""),5)</f>
        <v>5</v>
      </c>
      <c r="C49" s="25">
        <f ca="1">IFERROR(__xludf.DUMMYFUNCTION("""COMPUTED_VALUE"""),15)</f>
        <v>15</v>
      </c>
      <c r="D49" s="25">
        <f ca="1">IFERROR(__xludf.DUMMYFUNCTION("""COMPUTED_VALUE"""),36724)</f>
        <v>36724</v>
      </c>
      <c r="E49" s="28" t="str">
        <f ca="1">IFERROR(__xludf.DUMMYFUNCTION("""COMPUTED_VALUE"""),"עמלות (יעל אביב)")</f>
        <v>עמלות (יעל אביב)</v>
      </c>
      <c r="F49" s="25" t="str">
        <f ca="1">IFERROR(__xludf.DUMMYFUNCTION("""COMPUTED_VALUE"""),"עמלות (יעל אביב)")</f>
        <v>עמלות (יעל אביב)</v>
      </c>
      <c r="G49" s="25" t="str">
        <f ca="1"/>
        <v>עמלות</v>
      </c>
    </row>
    <row r="50" spans="1:7" ht="21.75" customHeight="1">
      <c r="A50" s="29">
        <f ca="1">IFERROR(__xludf.DUMMYFUNCTION("""COMPUTED_VALUE"""),46188)</f>
        <v>46188</v>
      </c>
      <c r="B50" s="25">
        <f ca="1">IFERROR(__xludf.DUMMYFUNCTION("""COMPUTED_VALUE"""),6)</f>
        <v>6</v>
      </c>
      <c r="C50" s="25">
        <f ca="1">IFERROR(__xludf.DUMMYFUNCTION("""COMPUTED_VALUE"""),15)</f>
        <v>15</v>
      </c>
      <c r="D50" s="25">
        <f ca="1">IFERROR(__xludf.DUMMYFUNCTION("""COMPUTED_VALUE"""),20295)</f>
        <v>20295</v>
      </c>
      <c r="E50" s="28" t="str">
        <f ca="1">IFERROR(__xludf.DUMMYFUNCTION("""COMPUTED_VALUE"""),"עמלות (יעל אביב)")</f>
        <v>עמלות (יעל אביב)</v>
      </c>
      <c r="F50" s="25" t="str">
        <f ca="1">IFERROR(__xludf.DUMMYFUNCTION("""COMPUTED_VALUE"""),"עמלות (יעל אביב)")</f>
        <v>עמלות (יעל אביב)</v>
      </c>
      <c r="G50" s="25" t="str">
        <f ca="1"/>
        <v>עמלות</v>
      </c>
    </row>
    <row r="51" spans="1:7" ht="21.75" customHeight="1">
      <c r="A51" s="29">
        <f ca="1">IFERROR(__xludf.DUMMYFUNCTION("""COMPUTED_VALUE"""),46218)</f>
        <v>46218</v>
      </c>
      <c r="B51" s="25">
        <f ca="1">IFERROR(__xludf.DUMMYFUNCTION("""COMPUTED_VALUE"""),7)</f>
        <v>7</v>
      </c>
      <c r="C51" s="25">
        <f ca="1">IFERROR(__xludf.DUMMYFUNCTION("""COMPUTED_VALUE"""),15)</f>
        <v>15</v>
      </c>
      <c r="D51" s="25">
        <f ca="1">IFERROR(__xludf.DUMMYFUNCTION("""COMPUTED_VALUE"""),6018)</f>
        <v>6018</v>
      </c>
      <c r="E51" s="28" t="str">
        <f ca="1">IFERROR(__xludf.DUMMYFUNCTION("""COMPUTED_VALUE"""),"עמלות (יעל אביב)")</f>
        <v>עמלות (יעל אביב)</v>
      </c>
      <c r="F51" s="25" t="str">
        <f ca="1">IFERROR(__xludf.DUMMYFUNCTION("""COMPUTED_VALUE"""),"עמלות (יעל אביב)")</f>
        <v>עמלות (יעל אביב)</v>
      </c>
      <c r="G51" s="25" t="str">
        <f ca="1"/>
        <v>עמלות</v>
      </c>
    </row>
    <row r="52" spans="1:7" ht="21.75" customHeight="1">
      <c r="A52" s="29">
        <f ca="1">IFERROR(__xludf.DUMMYFUNCTION("""COMPUTED_VALUE"""),46249)</f>
        <v>46249</v>
      </c>
      <c r="B52" s="25">
        <f ca="1">IFERROR(__xludf.DUMMYFUNCTION("""COMPUTED_VALUE"""),8)</f>
        <v>8</v>
      </c>
      <c r="C52" s="25">
        <f ca="1">IFERROR(__xludf.DUMMYFUNCTION("""COMPUTED_VALUE"""),15)</f>
        <v>15</v>
      </c>
      <c r="D52" s="25">
        <f ca="1">IFERROR(__xludf.DUMMYFUNCTION("""COMPUTED_VALUE"""),3894)</f>
        <v>3894</v>
      </c>
      <c r="E52" s="28" t="str">
        <f ca="1">IFERROR(__xludf.DUMMYFUNCTION("""COMPUTED_VALUE"""),"עמלות (יעל אביב)")</f>
        <v>עמלות (יעל אביב)</v>
      </c>
      <c r="F52" s="25" t="str">
        <f ca="1">IFERROR(__xludf.DUMMYFUNCTION("""COMPUTED_VALUE"""),"עמלות (יעל אביב)")</f>
        <v>עמלות (יעל אביב)</v>
      </c>
      <c r="G52" s="25" t="str">
        <f ca="1"/>
        <v>עמלות</v>
      </c>
    </row>
    <row r="53" spans="1:7" ht="21.75" customHeight="1">
      <c r="A53" s="29">
        <f ca="1">IFERROR(__xludf.DUMMYFUNCTION("""COMPUTED_VALUE"""),46091)</f>
        <v>46091</v>
      </c>
      <c r="B53" s="25">
        <f ca="1">IFERROR(__xludf.DUMMYFUNCTION("""COMPUTED_VALUE"""),3)</f>
        <v>3</v>
      </c>
      <c r="C53" s="25">
        <f ca="1">IFERROR(__xludf.DUMMYFUNCTION("""COMPUTED_VALUE"""),10)</f>
        <v>10</v>
      </c>
      <c r="D53" s="25">
        <f ca="1">IFERROR(__xludf.DUMMYFUNCTION("""COMPUTED_VALUE"""),8380)</f>
        <v>8380</v>
      </c>
      <c r="E53" s="28" t="str">
        <f ca="1">IFERROR(__xludf.DUMMYFUNCTION("""COMPUTED_VALUE"""),"משפטיות")</f>
        <v>משפטיות</v>
      </c>
      <c r="F53" s="25" t="str">
        <f ca="1">IFERROR(__xludf.DUMMYFUNCTION("""COMPUTED_VALUE"""),"שלומית משה")</f>
        <v>שלומית משה</v>
      </c>
      <c r="G53" s="25" t="str">
        <f ca="1"/>
        <v>ספקים</v>
      </c>
    </row>
    <row r="54" spans="1:7" ht="21.75" customHeight="1">
      <c r="A54" s="29">
        <f ca="1">IFERROR(__xludf.DUMMYFUNCTION("""COMPUTED_VALUE"""),46122)</f>
        <v>46122</v>
      </c>
      <c r="B54" s="25">
        <f ca="1">IFERROR(__xludf.DUMMYFUNCTION("""COMPUTED_VALUE"""),4)</f>
        <v>4</v>
      </c>
      <c r="C54" s="25">
        <f ca="1">IFERROR(__xludf.DUMMYFUNCTION("""COMPUTED_VALUE"""),10)</f>
        <v>10</v>
      </c>
      <c r="D54" s="25">
        <f ca="1">IFERROR(__xludf.DUMMYFUNCTION("""COMPUTED_VALUE"""),8380)</f>
        <v>8380</v>
      </c>
      <c r="E54" s="28" t="str">
        <f ca="1">IFERROR(__xludf.DUMMYFUNCTION("""COMPUTED_VALUE"""),"משפטיות")</f>
        <v>משפטיות</v>
      </c>
      <c r="F54" s="25" t="str">
        <f ca="1">IFERROR(__xludf.DUMMYFUNCTION("""COMPUTED_VALUE"""),"שלומית משה")</f>
        <v>שלומית משה</v>
      </c>
      <c r="G54" s="25" t="str">
        <f ca="1"/>
        <v>ספקים</v>
      </c>
    </row>
    <row r="55" spans="1:7" ht="21.75" customHeight="1">
      <c r="A55" s="29">
        <f ca="1">IFERROR(__xludf.DUMMYFUNCTION("""COMPUTED_VALUE"""),46152)</f>
        <v>46152</v>
      </c>
      <c r="B55" s="25">
        <f ca="1">IFERROR(__xludf.DUMMYFUNCTION("""COMPUTED_VALUE"""),5)</f>
        <v>5</v>
      </c>
      <c r="C55" s="25">
        <f ca="1">IFERROR(__xludf.DUMMYFUNCTION("""COMPUTED_VALUE"""),10)</f>
        <v>10</v>
      </c>
      <c r="D55" s="25">
        <f ca="1">IFERROR(__xludf.DUMMYFUNCTION("""COMPUTED_VALUE"""),8380)</f>
        <v>8380</v>
      </c>
      <c r="E55" s="28" t="str">
        <f ca="1">IFERROR(__xludf.DUMMYFUNCTION("""COMPUTED_VALUE"""),"משפטיות")</f>
        <v>משפטיות</v>
      </c>
      <c r="F55" s="25" t="str">
        <f ca="1">IFERROR(__xludf.DUMMYFUNCTION("""COMPUTED_VALUE"""),"שלומית משה")</f>
        <v>שלומית משה</v>
      </c>
      <c r="G55" s="25" t="str">
        <f ca="1"/>
        <v>ספקים</v>
      </c>
    </row>
    <row r="56" spans="1:7" ht="21.75" customHeight="1">
      <c r="A56" s="29">
        <f ca="1">IFERROR(__xludf.DUMMYFUNCTION("""COMPUTED_VALUE"""),46183)</f>
        <v>46183</v>
      </c>
      <c r="B56" s="25">
        <f ca="1">IFERROR(__xludf.DUMMYFUNCTION("""COMPUTED_VALUE"""),6)</f>
        <v>6</v>
      </c>
      <c r="C56" s="25">
        <f ca="1">IFERROR(__xludf.DUMMYFUNCTION("""COMPUTED_VALUE"""),10)</f>
        <v>10</v>
      </c>
      <c r="D56" s="25">
        <f ca="1">IFERROR(__xludf.DUMMYFUNCTION("""COMPUTED_VALUE"""),8380)</f>
        <v>8380</v>
      </c>
      <c r="E56" s="28" t="str">
        <f ca="1">IFERROR(__xludf.DUMMYFUNCTION("""COMPUTED_VALUE"""),"משפטיות")</f>
        <v>משפטיות</v>
      </c>
      <c r="F56" s="25" t="str">
        <f ca="1">IFERROR(__xludf.DUMMYFUNCTION("""COMPUTED_VALUE"""),"שלומית משה")</f>
        <v>שלומית משה</v>
      </c>
      <c r="G56" s="25" t="str">
        <f ca="1"/>
        <v>ספקים</v>
      </c>
    </row>
    <row r="57" spans="1:7" ht="21.75" customHeight="1">
      <c r="A57" s="29">
        <f ca="1">IFERROR(__xludf.DUMMYFUNCTION("""COMPUTED_VALUE"""),46213)</f>
        <v>46213</v>
      </c>
      <c r="B57" s="25">
        <f ca="1">IFERROR(__xludf.DUMMYFUNCTION("""COMPUTED_VALUE"""),7)</f>
        <v>7</v>
      </c>
      <c r="C57" s="25">
        <f ca="1">IFERROR(__xludf.DUMMYFUNCTION("""COMPUTED_VALUE"""),10)</f>
        <v>10</v>
      </c>
      <c r="D57" s="25">
        <f ca="1">IFERROR(__xludf.DUMMYFUNCTION("""COMPUTED_VALUE"""),8380)</f>
        <v>8380</v>
      </c>
      <c r="E57" s="28" t="str">
        <f ca="1">IFERROR(__xludf.DUMMYFUNCTION("""COMPUTED_VALUE"""),"משפטיות")</f>
        <v>משפטיות</v>
      </c>
      <c r="F57" s="25" t="str">
        <f ca="1">IFERROR(__xludf.DUMMYFUNCTION("""COMPUTED_VALUE"""),"שלומית משה")</f>
        <v>שלומית משה</v>
      </c>
      <c r="G57" s="25" t="str">
        <f ca="1"/>
        <v>ספקים</v>
      </c>
    </row>
    <row r="58" spans="1:7" ht="21.75" customHeight="1">
      <c r="A58" s="29">
        <f ca="1">IFERROR(__xludf.DUMMYFUNCTION("""COMPUTED_VALUE"""),46244)</f>
        <v>46244</v>
      </c>
      <c r="B58" s="25">
        <f ca="1">IFERROR(__xludf.DUMMYFUNCTION("""COMPUTED_VALUE"""),8)</f>
        <v>8</v>
      </c>
      <c r="C58" s="25">
        <f ca="1">IFERROR(__xludf.DUMMYFUNCTION("""COMPUTED_VALUE"""),10)</f>
        <v>10</v>
      </c>
      <c r="D58" s="25">
        <f ca="1">IFERROR(__xludf.DUMMYFUNCTION("""COMPUTED_VALUE"""),8380)</f>
        <v>8380</v>
      </c>
      <c r="E58" s="28" t="str">
        <f ca="1">IFERROR(__xludf.DUMMYFUNCTION("""COMPUTED_VALUE"""),"משפטיות")</f>
        <v>משפטיות</v>
      </c>
      <c r="F58" s="25" t="str">
        <f ca="1">IFERROR(__xludf.DUMMYFUNCTION("""COMPUTED_VALUE"""),"שלומית משה")</f>
        <v>שלומית משה</v>
      </c>
      <c r="G58" s="25" t="str">
        <f ca="1"/>
        <v>ספקים</v>
      </c>
    </row>
    <row r="59" spans="1:7" ht="21.75" customHeight="1">
      <c r="A59" s="29">
        <f ca="1">IFERROR(__xludf.DUMMYFUNCTION("""COMPUTED_VALUE"""),46091)</f>
        <v>46091</v>
      </c>
      <c r="B59" s="25">
        <f ca="1">IFERROR(__xludf.DUMMYFUNCTION("""COMPUTED_VALUE"""),3)</f>
        <v>3</v>
      </c>
      <c r="C59" s="25">
        <f ca="1">IFERROR(__xludf.DUMMYFUNCTION("""COMPUTED_VALUE"""),10)</f>
        <v>10</v>
      </c>
      <c r="D59" s="25">
        <f ca="1">IFERROR(__xludf.DUMMYFUNCTION("""COMPUTED_VALUE"""),7600)</f>
        <v>7600</v>
      </c>
      <c r="E59" s="28" t="str">
        <f ca="1">IFERROR(__xludf.DUMMYFUNCTION("""COMPUTED_VALUE"""),"ביטוח")</f>
        <v>ביטוח</v>
      </c>
      <c r="F59" s="25" t="str">
        <f ca="1">IFERROR(__xludf.DUMMYFUNCTION("""COMPUTED_VALUE"""),"ביטוח")</f>
        <v>ביטוח</v>
      </c>
      <c r="G59" s="25" t="str">
        <f ca="1"/>
        <v>ספקים</v>
      </c>
    </row>
    <row r="60" spans="1:7" ht="21.75" customHeight="1">
      <c r="A60" s="29">
        <f ca="1">IFERROR(__xludf.DUMMYFUNCTION("""COMPUTED_VALUE"""),46122)</f>
        <v>46122</v>
      </c>
      <c r="B60" s="25">
        <f ca="1">IFERROR(__xludf.DUMMYFUNCTION("""COMPUTED_VALUE"""),4)</f>
        <v>4</v>
      </c>
      <c r="C60" s="25">
        <f ca="1">IFERROR(__xludf.DUMMYFUNCTION("""COMPUTED_VALUE"""),10)</f>
        <v>10</v>
      </c>
      <c r="D60" s="25">
        <f ca="1">IFERROR(__xludf.DUMMYFUNCTION("""COMPUTED_VALUE"""),7600)</f>
        <v>7600</v>
      </c>
      <c r="E60" s="28" t="str">
        <f ca="1">IFERROR(__xludf.DUMMYFUNCTION("""COMPUTED_VALUE"""),"ביטוח")</f>
        <v>ביטוח</v>
      </c>
      <c r="F60" s="25" t="str">
        <f ca="1">IFERROR(__xludf.DUMMYFUNCTION("""COMPUTED_VALUE"""),"ביטוח")</f>
        <v>ביטוח</v>
      </c>
      <c r="G60" s="25" t="str">
        <f ca="1"/>
        <v>ספקים</v>
      </c>
    </row>
    <row r="61" spans="1:7" ht="21.75" customHeight="1">
      <c r="A61" s="29">
        <f ca="1">IFERROR(__xludf.DUMMYFUNCTION("""COMPUTED_VALUE"""),46152)</f>
        <v>46152</v>
      </c>
      <c r="B61" s="25">
        <f ca="1">IFERROR(__xludf.DUMMYFUNCTION("""COMPUTED_VALUE"""),5)</f>
        <v>5</v>
      </c>
      <c r="C61" s="25">
        <f ca="1">IFERROR(__xludf.DUMMYFUNCTION("""COMPUTED_VALUE"""),10)</f>
        <v>10</v>
      </c>
      <c r="D61" s="25">
        <f ca="1">IFERROR(__xludf.DUMMYFUNCTION("""COMPUTED_VALUE"""),7600)</f>
        <v>7600</v>
      </c>
      <c r="E61" s="28" t="str">
        <f ca="1">IFERROR(__xludf.DUMMYFUNCTION("""COMPUTED_VALUE"""),"ביטוח")</f>
        <v>ביטוח</v>
      </c>
      <c r="F61" s="25" t="str">
        <f ca="1">IFERROR(__xludf.DUMMYFUNCTION("""COMPUTED_VALUE"""),"ביטוח")</f>
        <v>ביטוח</v>
      </c>
      <c r="G61" s="25" t="str">
        <f ca="1"/>
        <v>ספקים</v>
      </c>
    </row>
    <row r="62" spans="1:7" ht="21.75" customHeight="1">
      <c r="A62" s="29">
        <f ca="1">IFERROR(__xludf.DUMMYFUNCTION("""COMPUTED_VALUE"""),46183)</f>
        <v>46183</v>
      </c>
      <c r="B62" s="25">
        <f ca="1">IFERROR(__xludf.DUMMYFUNCTION("""COMPUTED_VALUE"""),6)</f>
        <v>6</v>
      </c>
      <c r="C62" s="25">
        <f ca="1">IFERROR(__xludf.DUMMYFUNCTION("""COMPUTED_VALUE"""),10)</f>
        <v>10</v>
      </c>
      <c r="D62" s="25">
        <f ca="1">IFERROR(__xludf.DUMMYFUNCTION("""COMPUTED_VALUE"""),7600)</f>
        <v>7600</v>
      </c>
      <c r="E62" s="28" t="str">
        <f ca="1">IFERROR(__xludf.DUMMYFUNCTION("""COMPUTED_VALUE"""),"ביטוח")</f>
        <v>ביטוח</v>
      </c>
      <c r="F62" s="25" t="str">
        <f ca="1">IFERROR(__xludf.DUMMYFUNCTION("""COMPUTED_VALUE"""),"ביטוח")</f>
        <v>ביטוח</v>
      </c>
      <c r="G62" s="25" t="str">
        <f ca="1"/>
        <v>ספקים</v>
      </c>
    </row>
    <row r="63" spans="1:7" ht="21.75" customHeight="1">
      <c r="A63" s="29">
        <f ca="1">IFERROR(__xludf.DUMMYFUNCTION("""COMPUTED_VALUE"""),46213)</f>
        <v>46213</v>
      </c>
      <c r="B63" s="25">
        <f ca="1">IFERROR(__xludf.DUMMYFUNCTION("""COMPUTED_VALUE"""),7)</f>
        <v>7</v>
      </c>
      <c r="C63" s="25">
        <f ca="1">IFERROR(__xludf.DUMMYFUNCTION("""COMPUTED_VALUE"""),10)</f>
        <v>10</v>
      </c>
      <c r="D63" s="25">
        <f ca="1">IFERROR(__xludf.DUMMYFUNCTION("""COMPUTED_VALUE"""),7600)</f>
        <v>7600</v>
      </c>
      <c r="E63" s="28" t="str">
        <f ca="1">IFERROR(__xludf.DUMMYFUNCTION("""COMPUTED_VALUE"""),"ביטוח")</f>
        <v>ביטוח</v>
      </c>
      <c r="F63" s="25" t="str">
        <f ca="1">IFERROR(__xludf.DUMMYFUNCTION("""COMPUTED_VALUE"""),"ביטוח")</f>
        <v>ביטוח</v>
      </c>
      <c r="G63" s="25" t="str">
        <f ca="1"/>
        <v>ספקים</v>
      </c>
    </row>
    <row r="64" spans="1:7" ht="21.75" customHeight="1">
      <c r="A64" s="29">
        <f ca="1">IFERROR(__xludf.DUMMYFUNCTION("""COMPUTED_VALUE"""),46160)</f>
        <v>46160</v>
      </c>
      <c r="B64" s="25">
        <f ca="1">IFERROR(__xludf.DUMMYFUNCTION("""COMPUTED_VALUE"""),5)</f>
        <v>5</v>
      </c>
      <c r="C64" s="25">
        <f ca="1">IFERROR(__xludf.DUMMYFUNCTION("""COMPUTED_VALUE"""),18)</f>
        <v>18</v>
      </c>
      <c r="D64" s="25">
        <f ca="1">IFERROR(__xludf.DUMMYFUNCTION("""COMPUTED_VALUE"""),500)</f>
        <v>500</v>
      </c>
      <c r="E64" s="28" t="str">
        <f ca="1">IFERROR(__xludf.DUMMYFUNCTION("""COMPUTED_VALUE"""),"שכר")</f>
        <v>שכר</v>
      </c>
      <c r="F64" s="25" t="str">
        <f ca="1">IFERROR(__xludf.DUMMYFUNCTION("""COMPUTED_VALUE"""),"אורות")</f>
        <v>אורות</v>
      </c>
      <c r="G64" s="25" t="str">
        <f ca="1"/>
        <v>שכר</v>
      </c>
    </row>
    <row r="65" spans="1:7" ht="21.75" customHeight="1">
      <c r="A65" s="29">
        <f ca="1">IFERROR(__xludf.DUMMYFUNCTION("""COMPUTED_VALUE"""),46191)</f>
        <v>46191</v>
      </c>
      <c r="B65" s="25">
        <f ca="1">IFERROR(__xludf.DUMMYFUNCTION("""COMPUTED_VALUE"""),6)</f>
        <v>6</v>
      </c>
      <c r="C65" s="25">
        <f ca="1">IFERROR(__xludf.DUMMYFUNCTION("""COMPUTED_VALUE"""),18)</f>
        <v>18</v>
      </c>
      <c r="D65" s="25"/>
      <c r="E65" s="28" t="str">
        <f ca="1">IFERROR(__xludf.DUMMYFUNCTION("""COMPUTED_VALUE"""),"שכר")</f>
        <v>שכר</v>
      </c>
      <c r="F65" s="25" t="str">
        <f ca="1">IFERROR(__xludf.DUMMYFUNCTION("""COMPUTED_VALUE"""),"אורות")</f>
        <v>אורות</v>
      </c>
      <c r="G65" s="25" t="str">
        <f ca="1"/>
        <v>שכר</v>
      </c>
    </row>
    <row r="66" spans="1:7" ht="21.75" customHeight="1">
      <c r="A66" s="29">
        <f ca="1">IFERROR(__xludf.DUMMYFUNCTION("""COMPUTED_VALUE"""),46252)</f>
        <v>46252</v>
      </c>
      <c r="B66" s="25">
        <f ca="1">IFERROR(__xludf.DUMMYFUNCTION("""COMPUTED_VALUE"""),8)</f>
        <v>8</v>
      </c>
      <c r="C66" s="25">
        <f ca="1">IFERROR(__xludf.DUMMYFUNCTION("""COMPUTED_VALUE"""),18)</f>
        <v>18</v>
      </c>
      <c r="D66" s="25">
        <f ca="1">IFERROR(__xludf.DUMMYFUNCTION("""COMPUTED_VALUE"""),500)</f>
        <v>500</v>
      </c>
      <c r="E66" s="28" t="str">
        <f ca="1">IFERROR(__xludf.DUMMYFUNCTION("""COMPUTED_VALUE"""),"שכר")</f>
        <v>שכר</v>
      </c>
      <c r="F66" s="25" t="str">
        <f ca="1">IFERROR(__xludf.DUMMYFUNCTION("""COMPUTED_VALUE"""),"אורות")</f>
        <v>אורות</v>
      </c>
      <c r="G66" s="25" t="str">
        <f ca="1"/>
        <v>שכר</v>
      </c>
    </row>
    <row r="67" spans="1:7" ht="21.75" customHeight="1">
      <c r="A67" s="29">
        <f ca="1">IFERROR(__xludf.DUMMYFUNCTION("""COMPUTED_VALUE"""),46083)</f>
        <v>46083</v>
      </c>
      <c r="B67" s="25">
        <f ca="1">IFERROR(__xludf.DUMMYFUNCTION("""COMPUTED_VALUE"""),3)</f>
        <v>3</v>
      </c>
      <c r="C67" s="25">
        <f ca="1">IFERROR(__xludf.DUMMYFUNCTION("""COMPUTED_VALUE"""),2)</f>
        <v>2</v>
      </c>
      <c r="D67" s="25">
        <f ca="1">IFERROR(__xludf.DUMMYFUNCTION("""COMPUTED_VALUE"""),1300)</f>
        <v>1300</v>
      </c>
      <c r="E67" s="28" t="str">
        <f ca="1">IFERROR(__xludf.DUMMYFUNCTION("""COMPUTED_VALUE"""),"תקשורת")</f>
        <v>תקשורת</v>
      </c>
      <c r="F67" s="25" t="str">
        <f ca="1">IFERROR(__xludf.DUMMYFUNCTION("""COMPUTED_VALUE"""),"גיבוי")</f>
        <v>גיבוי</v>
      </c>
      <c r="G67" s="25" t="str">
        <f ca="1"/>
        <v>ספקים</v>
      </c>
    </row>
    <row r="68" spans="1:7" ht="21.75" customHeight="1">
      <c r="A68" s="29">
        <f ca="1">IFERROR(__xludf.DUMMYFUNCTION("""COMPUTED_VALUE"""),46114)</f>
        <v>46114</v>
      </c>
      <c r="B68" s="25">
        <f ca="1">IFERROR(__xludf.DUMMYFUNCTION("""COMPUTED_VALUE"""),4)</f>
        <v>4</v>
      </c>
      <c r="C68" s="25">
        <f ca="1">IFERROR(__xludf.DUMMYFUNCTION("""COMPUTED_VALUE"""),2)</f>
        <v>2</v>
      </c>
      <c r="D68" s="25">
        <f ca="1">IFERROR(__xludf.DUMMYFUNCTION("""COMPUTED_VALUE"""),1300)</f>
        <v>1300</v>
      </c>
      <c r="E68" s="28" t="str">
        <f ca="1">IFERROR(__xludf.DUMMYFUNCTION("""COMPUTED_VALUE"""),"תקשורת")</f>
        <v>תקשורת</v>
      </c>
      <c r="F68" s="25" t="str">
        <f ca="1">IFERROR(__xludf.DUMMYFUNCTION("""COMPUTED_VALUE"""),"גיבוי")</f>
        <v>גיבוי</v>
      </c>
      <c r="G68" s="25" t="str">
        <f ca="1"/>
        <v>ספקים</v>
      </c>
    </row>
    <row r="69" spans="1:7" ht="21.75" customHeight="1">
      <c r="A69" s="29">
        <f ca="1">IFERROR(__xludf.DUMMYFUNCTION("""COMPUTED_VALUE"""),46144)</f>
        <v>46144</v>
      </c>
      <c r="B69" s="25">
        <f ca="1">IFERROR(__xludf.DUMMYFUNCTION("""COMPUTED_VALUE"""),5)</f>
        <v>5</v>
      </c>
      <c r="C69" s="25">
        <f ca="1">IFERROR(__xludf.DUMMYFUNCTION("""COMPUTED_VALUE"""),2)</f>
        <v>2</v>
      </c>
      <c r="D69" s="25">
        <f ca="1">IFERROR(__xludf.DUMMYFUNCTION("""COMPUTED_VALUE"""),1300)</f>
        <v>1300</v>
      </c>
      <c r="E69" s="28" t="str">
        <f ca="1">IFERROR(__xludf.DUMMYFUNCTION("""COMPUTED_VALUE"""),"תקשורת")</f>
        <v>תקשורת</v>
      </c>
      <c r="F69" s="25" t="str">
        <f ca="1">IFERROR(__xludf.DUMMYFUNCTION("""COMPUTED_VALUE"""),"גיבוי")</f>
        <v>גיבוי</v>
      </c>
      <c r="G69" s="25" t="str">
        <f ca="1"/>
        <v>ספקים</v>
      </c>
    </row>
    <row r="70" spans="1:7" ht="21.75" customHeight="1">
      <c r="A70" s="29">
        <f ca="1">IFERROR(__xludf.DUMMYFUNCTION("""COMPUTED_VALUE"""),46175)</f>
        <v>46175</v>
      </c>
      <c r="B70" s="25">
        <f ca="1">IFERROR(__xludf.DUMMYFUNCTION("""COMPUTED_VALUE"""),6)</f>
        <v>6</v>
      </c>
      <c r="C70" s="25">
        <f ca="1">IFERROR(__xludf.DUMMYFUNCTION("""COMPUTED_VALUE"""),2)</f>
        <v>2</v>
      </c>
      <c r="D70" s="25">
        <f ca="1">IFERROR(__xludf.DUMMYFUNCTION("""COMPUTED_VALUE"""),1300)</f>
        <v>1300</v>
      </c>
      <c r="E70" s="28" t="str">
        <f ca="1">IFERROR(__xludf.DUMMYFUNCTION("""COMPUTED_VALUE"""),"תקשורת")</f>
        <v>תקשורת</v>
      </c>
      <c r="F70" s="25" t="str">
        <f ca="1">IFERROR(__xludf.DUMMYFUNCTION("""COMPUTED_VALUE"""),"גיבוי")</f>
        <v>גיבוי</v>
      </c>
      <c r="G70" s="25" t="str">
        <f ca="1"/>
        <v>ספקים</v>
      </c>
    </row>
    <row r="71" spans="1:7" ht="21.75" customHeight="1">
      <c r="A71" s="29">
        <f ca="1">IFERROR(__xludf.DUMMYFUNCTION("""COMPUTED_VALUE"""),46205)</f>
        <v>46205</v>
      </c>
      <c r="B71" s="25">
        <f ca="1">IFERROR(__xludf.DUMMYFUNCTION("""COMPUTED_VALUE"""),7)</f>
        <v>7</v>
      </c>
      <c r="C71" s="25">
        <f ca="1">IFERROR(__xludf.DUMMYFUNCTION("""COMPUTED_VALUE"""),2)</f>
        <v>2</v>
      </c>
      <c r="D71" s="25">
        <f ca="1">IFERROR(__xludf.DUMMYFUNCTION("""COMPUTED_VALUE"""),1300)</f>
        <v>1300</v>
      </c>
      <c r="E71" s="28" t="str">
        <f ca="1">IFERROR(__xludf.DUMMYFUNCTION("""COMPUTED_VALUE"""),"תקשורת")</f>
        <v>תקשורת</v>
      </c>
      <c r="F71" s="25" t="str">
        <f ca="1">IFERROR(__xludf.DUMMYFUNCTION("""COMPUTED_VALUE"""),"גיבוי")</f>
        <v>גיבוי</v>
      </c>
      <c r="G71" s="25" t="str">
        <f ca="1"/>
        <v>ספקים</v>
      </c>
    </row>
    <row r="72" spans="1:7" ht="21.75" customHeight="1">
      <c r="A72" s="29">
        <f ca="1">IFERROR(__xludf.DUMMYFUNCTION("""COMPUTED_VALUE"""),46236)</f>
        <v>46236</v>
      </c>
      <c r="B72" s="25">
        <f ca="1">IFERROR(__xludf.DUMMYFUNCTION("""COMPUTED_VALUE"""),8)</f>
        <v>8</v>
      </c>
      <c r="C72" s="25">
        <f ca="1">IFERROR(__xludf.DUMMYFUNCTION("""COMPUTED_VALUE"""),2)</f>
        <v>2</v>
      </c>
      <c r="D72" s="25">
        <f ca="1">IFERROR(__xludf.DUMMYFUNCTION("""COMPUTED_VALUE"""),1300)</f>
        <v>1300</v>
      </c>
      <c r="E72" s="28" t="str">
        <f ca="1">IFERROR(__xludf.DUMMYFUNCTION("""COMPUTED_VALUE"""),"תקשורת")</f>
        <v>תקשורת</v>
      </c>
      <c r="F72" s="25" t="str">
        <f ca="1">IFERROR(__xludf.DUMMYFUNCTION("""COMPUTED_VALUE"""),"גיבוי")</f>
        <v>גיבוי</v>
      </c>
      <c r="G72" s="25" t="str">
        <f ca="1"/>
        <v>ספקים</v>
      </c>
    </row>
    <row r="73" spans="1:7" ht="21.75" customHeight="1">
      <c r="A73" s="29">
        <f ca="1">IFERROR(__xludf.DUMMYFUNCTION("""COMPUTED_VALUE"""),46091)</f>
        <v>46091</v>
      </c>
      <c r="B73" s="25">
        <f ca="1">IFERROR(__xludf.DUMMYFUNCTION("""COMPUTED_VALUE"""),3)</f>
        <v>3</v>
      </c>
      <c r="C73" s="25">
        <f ca="1">IFERROR(__xludf.DUMMYFUNCTION("""COMPUTED_VALUE"""),10)</f>
        <v>10</v>
      </c>
      <c r="D73" s="25">
        <f ca="1">IFERROR(__xludf.DUMMYFUNCTION("""COMPUTED_VALUE"""),2500)</f>
        <v>2500</v>
      </c>
      <c r="E73" s="28" t="str">
        <f ca="1">IFERROR(__xludf.DUMMYFUNCTION("""COMPUTED_VALUE"""),"פעילויות")</f>
        <v>פעילויות</v>
      </c>
      <c r="F73" s="25" t="str">
        <f ca="1">IFERROR(__xludf.DUMMYFUNCTION("""COMPUTED_VALUE"""),"הארה")</f>
        <v>הארה</v>
      </c>
      <c r="G73" s="25" t="str">
        <f ca="1"/>
        <v>ספקים</v>
      </c>
    </row>
    <row r="74" spans="1:7" ht="21.75" customHeight="1">
      <c r="A74" s="29">
        <f ca="1">IFERROR(__xludf.DUMMYFUNCTION("""COMPUTED_VALUE"""),46122)</f>
        <v>46122</v>
      </c>
      <c r="B74" s="25">
        <f ca="1">IFERROR(__xludf.DUMMYFUNCTION("""COMPUTED_VALUE"""),4)</f>
        <v>4</v>
      </c>
      <c r="C74" s="25">
        <f ca="1">IFERROR(__xludf.DUMMYFUNCTION("""COMPUTED_VALUE"""),10)</f>
        <v>10</v>
      </c>
      <c r="D74" s="25">
        <f ca="1">IFERROR(__xludf.DUMMYFUNCTION("""COMPUTED_VALUE"""),2000)</f>
        <v>2000</v>
      </c>
      <c r="E74" s="28" t="str">
        <f ca="1">IFERROR(__xludf.DUMMYFUNCTION("""COMPUTED_VALUE"""),"פעילויות")</f>
        <v>פעילויות</v>
      </c>
      <c r="F74" s="25" t="str">
        <f ca="1">IFERROR(__xludf.DUMMYFUNCTION("""COMPUTED_VALUE"""),"הארה")</f>
        <v>הארה</v>
      </c>
      <c r="G74" s="25" t="str">
        <f ca="1"/>
        <v>ספקים</v>
      </c>
    </row>
    <row r="75" spans="1:7" ht="21.75" customHeight="1">
      <c r="A75" s="29">
        <f ca="1">IFERROR(__xludf.DUMMYFUNCTION("""COMPUTED_VALUE"""),46152)</f>
        <v>46152</v>
      </c>
      <c r="B75" s="25">
        <f ca="1">IFERROR(__xludf.DUMMYFUNCTION("""COMPUTED_VALUE"""),5)</f>
        <v>5</v>
      </c>
      <c r="C75" s="25">
        <f ca="1">IFERROR(__xludf.DUMMYFUNCTION("""COMPUTED_VALUE"""),10)</f>
        <v>10</v>
      </c>
      <c r="D75" s="25">
        <f ca="1">IFERROR(__xludf.DUMMYFUNCTION("""COMPUTED_VALUE"""),2500)</f>
        <v>2500</v>
      </c>
      <c r="E75" s="28" t="str">
        <f ca="1">IFERROR(__xludf.DUMMYFUNCTION("""COMPUTED_VALUE"""),"קשרי חוץ")</f>
        <v>קשרי חוץ</v>
      </c>
      <c r="F75" s="25" t="str">
        <f ca="1">IFERROR(__xludf.DUMMYFUNCTION("""COMPUTED_VALUE"""),"בוריס")</f>
        <v>בוריס</v>
      </c>
      <c r="G75" s="25" t="str">
        <f ca="1"/>
        <v>ספקים</v>
      </c>
    </row>
    <row r="76" spans="1:7" ht="21.75" customHeight="1">
      <c r="A76" s="29">
        <f ca="1">IFERROR(__xludf.DUMMYFUNCTION("""COMPUTED_VALUE"""),46160)</f>
        <v>46160</v>
      </c>
      <c r="B76" s="25">
        <f ca="1">IFERROR(__xludf.DUMMYFUNCTION("""COMPUTED_VALUE"""),5)</f>
        <v>5</v>
      </c>
      <c r="C76" s="25">
        <f ca="1">IFERROR(__xludf.DUMMYFUNCTION("""COMPUTED_VALUE"""),18)</f>
        <v>18</v>
      </c>
      <c r="D76" s="25">
        <f ca="1">IFERROR(__xludf.DUMMYFUNCTION("""COMPUTED_VALUE"""),4500)</f>
        <v>4500</v>
      </c>
      <c r="E76" s="28" t="str">
        <f ca="1">IFERROR(__xludf.DUMMYFUNCTION("""COMPUTED_VALUE"""),"משרדיות")</f>
        <v>משרדיות</v>
      </c>
      <c r="F76" s="25" t="str">
        <f ca="1">IFERROR(__xludf.DUMMYFUNCTION("""COMPUTED_VALUE"""),"ארכיב")</f>
        <v>ארכיב</v>
      </c>
      <c r="G76" s="25" t="str">
        <f ca="1"/>
        <v>ספקים</v>
      </c>
    </row>
    <row r="77" spans="1:7" ht="21.75" customHeight="1">
      <c r="A77" s="29">
        <f ca="1">IFERROR(__xludf.DUMMYFUNCTION("""COMPUTED_VALUE"""),46099)</f>
        <v>46099</v>
      </c>
      <c r="B77" s="25">
        <f ca="1">IFERROR(__xludf.DUMMYFUNCTION("""COMPUTED_VALUE"""),3)</f>
        <v>3</v>
      </c>
      <c r="C77" s="25">
        <f ca="1">IFERROR(__xludf.DUMMYFUNCTION("""COMPUTED_VALUE"""),18)</f>
        <v>18</v>
      </c>
      <c r="D77" s="25">
        <f ca="1">IFERROR(__xludf.DUMMYFUNCTION("""COMPUTED_VALUE"""),3000)</f>
        <v>3000</v>
      </c>
      <c r="E77" s="28" t="str">
        <f ca="1">IFERROR(__xludf.DUMMYFUNCTION("""COMPUTED_VALUE"""),"פעילויות")</f>
        <v>פעילויות</v>
      </c>
      <c r="F77" s="25" t="str">
        <f ca="1">IFERROR(__xludf.DUMMYFUNCTION("""COMPUTED_VALUE"""),"הסעות")</f>
        <v>הסעות</v>
      </c>
      <c r="G77" s="25" t="str">
        <f ca="1"/>
        <v>ספקים</v>
      </c>
    </row>
    <row r="78" spans="1:7" ht="21.75" customHeight="1">
      <c r="A78" s="29">
        <f ca="1">IFERROR(__xludf.DUMMYFUNCTION("""COMPUTED_VALUE"""),46130)</f>
        <v>46130</v>
      </c>
      <c r="B78" s="25">
        <f ca="1">IFERROR(__xludf.DUMMYFUNCTION("""COMPUTED_VALUE"""),4)</f>
        <v>4</v>
      </c>
      <c r="C78" s="25">
        <f ca="1">IFERROR(__xludf.DUMMYFUNCTION("""COMPUTED_VALUE"""),18)</f>
        <v>18</v>
      </c>
      <c r="D78" s="25">
        <f ca="1">IFERROR(__xludf.DUMMYFUNCTION("""COMPUTED_VALUE"""),1500)</f>
        <v>1500</v>
      </c>
      <c r="E78" s="28" t="str">
        <f ca="1">IFERROR(__xludf.DUMMYFUNCTION("""COMPUTED_VALUE"""),"פעילויות")</f>
        <v>פעילויות</v>
      </c>
      <c r="F78" s="25" t="str">
        <f ca="1">IFERROR(__xludf.DUMMYFUNCTION("""COMPUTED_VALUE"""),"הסעות")</f>
        <v>הסעות</v>
      </c>
      <c r="G78" s="25" t="str">
        <f ca="1"/>
        <v>ספקים</v>
      </c>
    </row>
    <row r="79" spans="1:7" ht="21.75" customHeight="1">
      <c r="A79" s="29">
        <f ca="1">IFERROR(__xludf.DUMMYFUNCTION("""COMPUTED_VALUE"""),46099)</f>
        <v>46099</v>
      </c>
      <c r="B79" s="25">
        <f ca="1">IFERROR(__xludf.DUMMYFUNCTION("""COMPUTED_VALUE"""),3)</f>
        <v>3</v>
      </c>
      <c r="C79" s="25">
        <f ca="1">IFERROR(__xludf.DUMMYFUNCTION("""COMPUTED_VALUE"""),18)</f>
        <v>18</v>
      </c>
      <c r="D79" s="25">
        <f ca="1">IFERROR(__xludf.DUMMYFUNCTION("""COMPUTED_VALUE"""),1500)</f>
        <v>1500</v>
      </c>
      <c r="E79" s="28" t="str">
        <f ca="1">IFERROR(__xludf.DUMMYFUNCTION("""COMPUTED_VALUE"""),"אגרות ובנקים")</f>
        <v>אגרות ובנקים</v>
      </c>
      <c r="F79" s="25" t="str">
        <f ca="1">IFERROR(__xludf.DUMMYFUNCTION("""COMPUTED_VALUE"""),"אגרה")</f>
        <v>אגרה</v>
      </c>
      <c r="G79" s="25" t="str">
        <f ca="1"/>
        <v>ספקים</v>
      </c>
    </row>
    <row r="80" spans="1:7" ht="21.75" customHeight="1">
      <c r="A80" s="29">
        <f ca="1">IFERROR(__xludf.DUMMYFUNCTION("""COMPUTED_VALUE"""),46083)</f>
        <v>46083</v>
      </c>
      <c r="B80" s="25">
        <f ca="1">IFERROR(__xludf.DUMMYFUNCTION("""COMPUTED_VALUE"""),3)</f>
        <v>3</v>
      </c>
      <c r="C80" s="25">
        <f ca="1">IFERROR(__xludf.DUMMYFUNCTION("""COMPUTED_VALUE"""),2)</f>
        <v>2</v>
      </c>
      <c r="D80" s="25">
        <f ca="1">IFERROR(__xludf.DUMMYFUNCTION("""COMPUTED_VALUE"""),600)</f>
        <v>600</v>
      </c>
      <c r="E80" s="28" t="str">
        <f ca="1">IFERROR(__xludf.DUMMYFUNCTION("""COMPUTED_VALUE"""),"אגרות ובנקים")</f>
        <v>אגרות ובנקים</v>
      </c>
      <c r="F80" s="25" t="str">
        <f ca="1">IFERROR(__xludf.DUMMYFUNCTION("""COMPUTED_VALUE"""),"בנקים")</f>
        <v>בנקים</v>
      </c>
      <c r="G80" s="25" t="str">
        <f ca="1"/>
        <v>ספקים</v>
      </c>
    </row>
    <row r="81" spans="1:7" ht="21.75" customHeight="1">
      <c r="A81" s="29">
        <f ca="1">IFERROR(__xludf.DUMMYFUNCTION("""COMPUTED_VALUE"""),46114)</f>
        <v>46114</v>
      </c>
      <c r="B81" s="25">
        <f ca="1">IFERROR(__xludf.DUMMYFUNCTION("""COMPUTED_VALUE"""),4)</f>
        <v>4</v>
      </c>
      <c r="C81" s="25">
        <f ca="1">IFERROR(__xludf.DUMMYFUNCTION("""COMPUTED_VALUE"""),2)</f>
        <v>2</v>
      </c>
      <c r="D81" s="25">
        <f ca="1">IFERROR(__xludf.DUMMYFUNCTION("""COMPUTED_VALUE"""),600)</f>
        <v>600</v>
      </c>
      <c r="E81" s="28" t="str">
        <f ca="1">IFERROR(__xludf.DUMMYFUNCTION("""COMPUTED_VALUE"""),"אגרות ובנקים")</f>
        <v>אגרות ובנקים</v>
      </c>
      <c r="F81" s="25" t="str">
        <f ca="1">IFERROR(__xludf.DUMMYFUNCTION("""COMPUTED_VALUE"""),"בנקים")</f>
        <v>בנקים</v>
      </c>
      <c r="G81" s="25" t="str">
        <f ca="1"/>
        <v>ספקים</v>
      </c>
    </row>
    <row r="82" spans="1:7" ht="21.75" customHeight="1">
      <c r="A82" s="29">
        <f ca="1">IFERROR(__xludf.DUMMYFUNCTION("""COMPUTED_VALUE"""),46144)</f>
        <v>46144</v>
      </c>
      <c r="B82" s="25">
        <f ca="1">IFERROR(__xludf.DUMMYFUNCTION("""COMPUTED_VALUE"""),5)</f>
        <v>5</v>
      </c>
      <c r="C82" s="25">
        <f ca="1">IFERROR(__xludf.DUMMYFUNCTION("""COMPUTED_VALUE"""),2)</f>
        <v>2</v>
      </c>
      <c r="D82" s="25">
        <f ca="1">IFERROR(__xludf.DUMMYFUNCTION("""COMPUTED_VALUE"""),600)</f>
        <v>600</v>
      </c>
      <c r="E82" s="28" t="str">
        <f ca="1">IFERROR(__xludf.DUMMYFUNCTION("""COMPUTED_VALUE"""),"אגרות ובנקים")</f>
        <v>אגרות ובנקים</v>
      </c>
      <c r="F82" s="25" t="str">
        <f ca="1">IFERROR(__xludf.DUMMYFUNCTION("""COMPUTED_VALUE"""),"בנקים")</f>
        <v>בנקים</v>
      </c>
      <c r="G82" s="25" t="str">
        <f ca="1"/>
        <v>ספקים</v>
      </c>
    </row>
    <row r="83" spans="1:7" ht="21.75" customHeight="1">
      <c r="A83" s="29">
        <f ca="1">IFERROR(__xludf.DUMMYFUNCTION("""COMPUTED_VALUE"""),46175)</f>
        <v>46175</v>
      </c>
      <c r="B83" s="25">
        <f ca="1">IFERROR(__xludf.DUMMYFUNCTION("""COMPUTED_VALUE"""),6)</f>
        <v>6</v>
      </c>
      <c r="C83" s="25">
        <f ca="1">IFERROR(__xludf.DUMMYFUNCTION("""COMPUTED_VALUE"""),2)</f>
        <v>2</v>
      </c>
      <c r="D83" s="25">
        <f ca="1">IFERROR(__xludf.DUMMYFUNCTION("""COMPUTED_VALUE"""),600)</f>
        <v>600</v>
      </c>
      <c r="E83" s="28" t="str">
        <f ca="1">IFERROR(__xludf.DUMMYFUNCTION("""COMPUTED_VALUE"""),"אגרות ובנקים")</f>
        <v>אגרות ובנקים</v>
      </c>
      <c r="F83" s="25" t="str">
        <f ca="1">IFERROR(__xludf.DUMMYFUNCTION("""COMPUTED_VALUE"""),"בנקים")</f>
        <v>בנקים</v>
      </c>
      <c r="G83" s="25" t="str">
        <f ca="1"/>
        <v>ספקים</v>
      </c>
    </row>
    <row r="84" spans="1:7" ht="21.75" customHeight="1">
      <c r="A84" s="29">
        <f ca="1">IFERROR(__xludf.DUMMYFUNCTION("""COMPUTED_VALUE"""),46205)</f>
        <v>46205</v>
      </c>
      <c r="B84" s="25">
        <f ca="1">IFERROR(__xludf.DUMMYFUNCTION("""COMPUTED_VALUE"""),7)</f>
        <v>7</v>
      </c>
      <c r="C84" s="25">
        <f ca="1">IFERROR(__xludf.DUMMYFUNCTION("""COMPUTED_VALUE"""),2)</f>
        <v>2</v>
      </c>
      <c r="D84" s="25">
        <f ca="1">IFERROR(__xludf.DUMMYFUNCTION("""COMPUTED_VALUE"""),600)</f>
        <v>600</v>
      </c>
      <c r="E84" s="28" t="str">
        <f ca="1">IFERROR(__xludf.DUMMYFUNCTION("""COMPUTED_VALUE"""),"אגרות ובנקים")</f>
        <v>אגרות ובנקים</v>
      </c>
      <c r="F84" s="25" t="str">
        <f ca="1">IFERROR(__xludf.DUMMYFUNCTION("""COMPUTED_VALUE"""),"בנקים")</f>
        <v>בנקים</v>
      </c>
      <c r="G84" s="25" t="str">
        <f ca="1"/>
        <v>ספקים</v>
      </c>
    </row>
    <row r="85" spans="1:7" ht="21.75" customHeight="1">
      <c r="A85" s="29">
        <f ca="1">IFERROR(__xludf.DUMMYFUNCTION("""COMPUTED_VALUE"""),46236)</f>
        <v>46236</v>
      </c>
      <c r="B85" s="25">
        <f ca="1">IFERROR(__xludf.DUMMYFUNCTION("""COMPUTED_VALUE"""),8)</f>
        <v>8</v>
      </c>
      <c r="C85" s="25">
        <f ca="1">IFERROR(__xludf.DUMMYFUNCTION("""COMPUTED_VALUE"""),2)</f>
        <v>2</v>
      </c>
      <c r="D85" s="25">
        <f ca="1">IFERROR(__xludf.DUMMYFUNCTION("""COMPUTED_VALUE"""),600)</f>
        <v>600</v>
      </c>
      <c r="E85" s="28" t="str">
        <f ca="1">IFERROR(__xludf.DUMMYFUNCTION("""COMPUTED_VALUE"""),"אגרות ובנקים")</f>
        <v>אגרות ובנקים</v>
      </c>
      <c r="F85" s="25" t="str">
        <f ca="1">IFERROR(__xludf.DUMMYFUNCTION("""COMPUTED_VALUE"""),"בנקים")</f>
        <v>בנקים</v>
      </c>
      <c r="G85" s="25" t="str">
        <f ca="1"/>
        <v>ספקים</v>
      </c>
    </row>
    <row r="86" spans="1:7" ht="21.75" customHeight="1">
      <c r="A86" s="29">
        <f ca="1">IFERROR(__xludf.DUMMYFUNCTION("""COMPUTED_VALUE"""),46130)</f>
        <v>46130</v>
      </c>
      <c r="B86" s="25">
        <f ca="1">IFERROR(__xludf.DUMMYFUNCTION("""COMPUTED_VALUE"""),4)</f>
        <v>4</v>
      </c>
      <c r="C86" s="25">
        <f ca="1">IFERROR(__xludf.DUMMYFUNCTION("""COMPUTED_VALUE"""),18)</f>
        <v>18</v>
      </c>
      <c r="D86" s="25">
        <f ca="1">IFERROR(__xludf.DUMMYFUNCTION("""COMPUTED_VALUE"""),4500)</f>
        <v>4500</v>
      </c>
      <c r="E86" s="28" t="str">
        <f ca="1">IFERROR(__xludf.DUMMYFUNCTION("""COMPUTED_VALUE"""),"עובדים")</f>
        <v>עובדים</v>
      </c>
      <c r="F86" s="25" t="str">
        <f ca="1">IFERROR(__xludf.DUMMYFUNCTION("""COMPUTED_VALUE"""),"מתנות לעובדים")</f>
        <v>מתנות לעובדים</v>
      </c>
      <c r="G86" s="25" t="str">
        <f ca="1"/>
        <v>ספקים</v>
      </c>
    </row>
    <row r="87" spans="1:7" ht="21.75" customHeight="1">
      <c r="A87" s="29">
        <f ca="1">IFERROR(__xludf.DUMMYFUNCTION("""COMPUTED_VALUE"""),46099)</f>
        <v>46099</v>
      </c>
      <c r="B87" s="25">
        <f ca="1">IFERROR(__xludf.DUMMYFUNCTION("""COMPUTED_VALUE"""),3)</f>
        <v>3</v>
      </c>
      <c r="C87" s="25">
        <f ca="1">IFERROR(__xludf.DUMMYFUNCTION("""COMPUTED_VALUE"""),18)</f>
        <v>18</v>
      </c>
      <c r="D87" s="25">
        <f ca="1">IFERROR(__xludf.DUMMYFUNCTION("""COMPUTED_VALUE"""),500)</f>
        <v>500</v>
      </c>
      <c r="E87" s="28" t="str">
        <f ca="1">IFERROR(__xludf.DUMMYFUNCTION("""COMPUTED_VALUE"""),"משרדיות")</f>
        <v>משרדיות</v>
      </c>
      <c r="F87" s="25" t="str">
        <f ca="1">IFERROR(__xludf.DUMMYFUNCTION("""COMPUTED_VALUE"""),"משרדיות")</f>
        <v>משרדיות</v>
      </c>
      <c r="G87" s="25" t="str">
        <f ca="1"/>
        <v>ספקים</v>
      </c>
    </row>
    <row r="88" spans="1:7" ht="21.75" customHeight="1">
      <c r="A88" s="29">
        <f ca="1">IFERROR(__xludf.DUMMYFUNCTION("""COMPUTED_VALUE"""),46130)</f>
        <v>46130</v>
      </c>
      <c r="B88" s="25">
        <f ca="1">IFERROR(__xludf.DUMMYFUNCTION("""COMPUTED_VALUE"""),4)</f>
        <v>4</v>
      </c>
      <c r="C88" s="25">
        <f ca="1">IFERROR(__xludf.DUMMYFUNCTION("""COMPUTED_VALUE"""),18)</f>
        <v>18</v>
      </c>
      <c r="D88" s="25">
        <f ca="1">IFERROR(__xludf.DUMMYFUNCTION("""COMPUTED_VALUE"""),500)</f>
        <v>500</v>
      </c>
      <c r="E88" s="28" t="str">
        <f ca="1">IFERROR(__xludf.DUMMYFUNCTION("""COMPUTED_VALUE"""),"משרדיות")</f>
        <v>משרדיות</v>
      </c>
      <c r="F88" s="25" t="str">
        <f ca="1">IFERROR(__xludf.DUMMYFUNCTION("""COMPUTED_VALUE"""),"משרדיות")</f>
        <v>משרדיות</v>
      </c>
      <c r="G88" s="25" t="str">
        <f ca="1"/>
        <v>ספקים</v>
      </c>
    </row>
    <row r="89" spans="1:7" ht="21.75" customHeight="1">
      <c r="A89" s="29">
        <f ca="1">IFERROR(__xludf.DUMMYFUNCTION("""COMPUTED_VALUE"""),46160)</f>
        <v>46160</v>
      </c>
      <c r="B89" s="25">
        <f ca="1">IFERROR(__xludf.DUMMYFUNCTION("""COMPUTED_VALUE"""),5)</f>
        <v>5</v>
      </c>
      <c r="C89" s="25">
        <f ca="1">IFERROR(__xludf.DUMMYFUNCTION("""COMPUTED_VALUE"""),18)</f>
        <v>18</v>
      </c>
      <c r="D89" s="25">
        <f ca="1">IFERROR(__xludf.DUMMYFUNCTION("""COMPUTED_VALUE"""),500)</f>
        <v>500</v>
      </c>
      <c r="E89" s="28" t="str">
        <f ca="1">IFERROR(__xludf.DUMMYFUNCTION("""COMPUTED_VALUE"""),"משרדיות")</f>
        <v>משרדיות</v>
      </c>
      <c r="F89" s="25" t="str">
        <f ca="1">IFERROR(__xludf.DUMMYFUNCTION("""COMPUTED_VALUE"""),"משרדיות")</f>
        <v>משרדיות</v>
      </c>
      <c r="G89" s="25" t="str">
        <f ca="1"/>
        <v>ספקים</v>
      </c>
    </row>
    <row r="90" spans="1:7" ht="21.75" customHeight="1">
      <c r="A90" s="29">
        <f ca="1">IFERROR(__xludf.DUMMYFUNCTION("""COMPUTED_VALUE"""),46191)</f>
        <v>46191</v>
      </c>
      <c r="B90" s="25">
        <f ca="1">IFERROR(__xludf.DUMMYFUNCTION("""COMPUTED_VALUE"""),6)</f>
        <v>6</v>
      </c>
      <c r="C90" s="25">
        <f ca="1">IFERROR(__xludf.DUMMYFUNCTION("""COMPUTED_VALUE"""),18)</f>
        <v>18</v>
      </c>
      <c r="D90" s="25">
        <f ca="1">IFERROR(__xludf.DUMMYFUNCTION("""COMPUTED_VALUE"""),500)</f>
        <v>500</v>
      </c>
      <c r="E90" s="28" t="str">
        <f ca="1">IFERROR(__xludf.DUMMYFUNCTION("""COMPUTED_VALUE"""),"משרדיות")</f>
        <v>משרדיות</v>
      </c>
      <c r="F90" s="25" t="str">
        <f ca="1">IFERROR(__xludf.DUMMYFUNCTION("""COMPUTED_VALUE"""),"משרדיות")</f>
        <v>משרדיות</v>
      </c>
      <c r="G90" s="25" t="str">
        <f ca="1"/>
        <v>ספקים</v>
      </c>
    </row>
    <row r="91" spans="1:7" ht="21.75" customHeight="1">
      <c r="A91" s="29">
        <f ca="1">IFERROR(__xludf.DUMMYFUNCTION("""COMPUTED_VALUE"""),46221)</f>
        <v>46221</v>
      </c>
      <c r="B91" s="25">
        <f ca="1">IFERROR(__xludf.DUMMYFUNCTION("""COMPUTED_VALUE"""),7)</f>
        <v>7</v>
      </c>
      <c r="C91" s="25">
        <f ca="1">IFERROR(__xludf.DUMMYFUNCTION("""COMPUTED_VALUE"""),18)</f>
        <v>18</v>
      </c>
      <c r="D91" s="25">
        <f ca="1">IFERROR(__xludf.DUMMYFUNCTION("""COMPUTED_VALUE"""),500)</f>
        <v>500</v>
      </c>
      <c r="E91" s="28" t="str">
        <f ca="1">IFERROR(__xludf.DUMMYFUNCTION("""COMPUTED_VALUE"""),"משרדיות")</f>
        <v>משרדיות</v>
      </c>
      <c r="F91" s="25" t="str">
        <f ca="1">IFERROR(__xludf.DUMMYFUNCTION("""COMPUTED_VALUE"""),"משרדיות")</f>
        <v>משרדיות</v>
      </c>
      <c r="G91" s="25" t="str">
        <f ca="1"/>
        <v>ספקים</v>
      </c>
    </row>
    <row r="92" spans="1:7" ht="21.75" customHeight="1">
      <c r="A92" s="29">
        <f ca="1">IFERROR(__xludf.DUMMYFUNCTION("""COMPUTED_VALUE"""),46099)</f>
        <v>46099</v>
      </c>
      <c r="B92" s="25">
        <f ca="1">IFERROR(__xludf.DUMMYFUNCTION("""COMPUTED_VALUE"""),3)</f>
        <v>3</v>
      </c>
      <c r="C92" s="25">
        <f ca="1">IFERROR(__xludf.DUMMYFUNCTION("""COMPUTED_VALUE"""),18)</f>
        <v>18</v>
      </c>
      <c r="D92" s="25">
        <f ca="1">IFERROR(__xludf.DUMMYFUNCTION("""COMPUTED_VALUE"""),200)</f>
        <v>200</v>
      </c>
      <c r="E92" s="28" t="str">
        <f ca="1">IFERROR(__xludf.DUMMYFUNCTION("""COMPUTED_VALUE"""),"עובדים")</f>
        <v>עובדים</v>
      </c>
      <c r="F92" s="25" t="str">
        <f ca="1">IFERROR(__xludf.DUMMYFUNCTION("""COMPUTED_VALUE"""),"כיבוד")</f>
        <v>כיבוד</v>
      </c>
      <c r="G92" s="25" t="str">
        <f ca="1"/>
        <v>ספקים</v>
      </c>
    </row>
    <row r="93" spans="1:7" ht="21.75" customHeight="1">
      <c r="A93" s="29">
        <f ca="1">IFERROR(__xludf.DUMMYFUNCTION("""COMPUTED_VALUE"""),46130)</f>
        <v>46130</v>
      </c>
      <c r="B93" s="25">
        <f ca="1">IFERROR(__xludf.DUMMYFUNCTION("""COMPUTED_VALUE"""),4)</f>
        <v>4</v>
      </c>
      <c r="C93" s="25">
        <f ca="1">IFERROR(__xludf.DUMMYFUNCTION("""COMPUTED_VALUE"""),18)</f>
        <v>18</v>
      </c>
      <c r="D93" s="25">
        <f ca="1">IFERROR(__xludf.DUMMYFUNCTION("""COMPUTED_VALUE"""),200)</f>
        <v>200</v>
      </c>
      <c r="E93" s="28" t="str">
        <f ca="1">IFERROR(__xludf.DUMMYFUNCTION("""COMPUTED_VALUE"""),"עובדים")</f>
        <v>עובדים</v>
      </c>
      <c r="F93" s="25" t="str">
        <f ca="1">IFERROR(__xludf.DUMMYFUNCTION("""COMPUTED_VALUE"""),"כיבוד")</f>
        <v>כיבוד</v>
      </c>
      <c r="G93" s="25" t="str">
        <f ca="1"/>
        <v>ספקים</v>
      </c>
    </row>
    <row r="94" spans="1:7" ht="21.75" customHeight="1">
      <c r="A94" s="29">
        <f ca="1">IFERROR(__xludf.DUMMYFUNCTION("""COMPUTED_VALUE"""),46160)</f>
        <v>46160</v>
      </c>
      <c r="B94" s="25">
        <f ca="1">IFERROR(__xludf.DUMMYFUNCTION("""COMPUTED_VALUE"""),5)</f>
        <v>5</v>
      </c>
      <c r="C94" s="25">
        <f ca="1">IFERROR(__xludf.DUMMYFUNCTION("""COMPUTED_VALUE"""),18)</f>
        <v>18</v>
      </c>
      <c r="D94" s="25">
        <f ca="1">IFERROR(__xludf.DUMMYFUNCTION("""COMPUTED_VALUE"""),100)</f>
        <v>100</v>
      </c>
      <c r="E94" s="28" t="str">
        <f ca="1">IFERROR(__xludf.DUMMYFUNCTION("""COMPUTED_VALUE"""),"עובדים")</f>
        <v>עובדים</v>
      </c>
      <c r="F94" s="25" t="str">
        <f ca="1">IFERROR(__xludf.DUMMYFUNCTION("""COMPUTED_VALUE"""),"כיבוד")</f>
        <v>כיבוד</v>
      </c>
      <c r="G94" s="25" t="str">
        <f ca="1"/>
        <v>ספקים</v>
      </c>
    </row>
    <row r="95" spans="1:7" ht="21.75" customHeight="1">
      <c r="A95" s="29">
        <f ca="1">IFERROR(__xludf.DUMMYFUNCTION("""COMPUTED_VALUE"""),46191)</f>
        <v>46191</v>
      </c>
      <c r="B95" s="25">
        <f ca="1">IFERROR(__xludf.DUMMYFUNCTION("""COMPUTED_VALUE"""),6)</f>
        <v>6</v>
      </c>
      <c r="C95" s="25">
        <f ca="1">IFERROR(__xludf.DUMMYFUNCTION("""COMPUTED_VALUE"""),18)</f>
        <v>18</v>
      </c>
      <c r="D95" s="25">
        <f ca="1">IFERROR(__xludf.DUMMYFUNCTION("""COMPUTED_VALUE"""),200)</f>
        <v>200</v>
      </c>
      <c r="E95" s="28" t="str">
        <f ca="1">IFERROR(__xludf.DUMMYFUNCTION("""COMPUTED_VALUE"""),"עובדים")</f>
        <v>עובדים</v>
      </c>
      <c r="F95" s="25" t="str">
        <f ca="1">IFERROR(__xludf.DUMMYFUNCTION("""COMPUTED_VALUE"""),"כיבוד")</f>
        <v>כיבוד</v>
      </c>
      <c r="G95" s="25" t="str">
        <f ca="1"/>
        <v>ספקים</v>
      </c>
    </row>
    <row r="96" spans="1:7" ht="21.75" customHeight="1">
      <c r="A96" s="29">
        <f ca="1">IFERROR(__xludf.DUMMYFUNCTION("""COMPUTED_VALUE"""),46111)</f>
        <v>46111</v>
      </c>
      <c r="B96" s="25">
        <f ca="1">IFERROR(__xludf.DUMMYFUNCTION("""COMPUTED_VALUE"""),3)</f>
        <v>3</v>
      </c>
      <c r="C96" s="25">
        <f ca="1">IFERROR(__xludf.DUMMYFUNCTION("""COMPUTED_VALUE"""),30)</f>
        <v>30</v>
      </c>
      <c r="D96" s="25">
        <f ca="1">IFERROR(__xludf.DUMMYFUNCTION("""COMPUTED_VALUE"""),250)</f>
        <v>250</v>
      </c>
      <c r="E96" s="28" t="str">
        <f ca="1">IFERROR(__xludf.DUMMYFUNCTION("""COMPUTED_VALUE"""),"תקשורת")</f>
        <v>תקשורת</v>
      </c>
      <c r="F96" s="25" t="str">
        <f ca="1">IFERROR(__xludf.DUMMYFUNCTION("""COMPUTED_VALUE"""),"טלפונים")</f>
        <v>טלפונים</v>
      </c>
      <c r="G96" s="25" t="str">
        <f ca="1"/>
        <v>ספקים</v>
      </c>
    </row>
    <row r="97" spans="1:7" ht="21.75" customHeight="1">
      <c r="A97" s="29">
        <f ca="1">IFERROR(__xludf.DUMMYFUNCTION("""COMPUTED_VALUE"""),46142)</f>
        <v>46142</v>
      </c>
      <c r="B97" s="25">
        <f ca="1">IFERROR(__xludf.DUMMYFUNCTION("""COMPUTED_VALUE"""),4)</f>
        <v>4</v>
      </c>
      <c r="C97" s="25">
        <f ca="1">IFERROR(__xludf.DUMMYFUNCTION("""COMPUTED_VALUE"""),30)</f>
        <v>30</v>
      </c>
      <c r="D97" s="25">
        <f ca="1">IFERROR(__xludf.DUMMYFUNCTION("""COMPUTED_VALUE"""),250)</f>
        <v>250</v>
      </c>
      <c r="E97" s="28" t="str">
        <f ca="1">IFERROR(__xludf.DUMMYFUNCTION("""COMPUTED_VALUE"""),"תקשורת")</f>
        <v>תקשורת</v>
      </c>
      <c r="F97" s="25" t="str">
        <f ca="1">IFERROR(__xludf.DUMMYFUNCTION("""COMPUTED_VALUE"""),"טלפונים")</f>
        <v>טלפונים</v>
      </c>
      <c r="G97" s="25" t="str">
        <f ca="1"/>
        <v>ספקים</v>
      </c>
    </row>
    <row r="98" spans="1:7" ht="21.75" customHeight="1">
      <c r="A98" s="29">
        <f ca="1">IFERROR(__xludf.DUMMYFUNCTION("""COMPUTED_VALUE"""),46172)</f>
        <v>46172</v>
      </c>
      <c r="B98" s="25">
        <f ca="1">IFERROR(__xludf.DUMMYFUNCTION("""COMPUTED_VALUE"""),5)</f>
        <v>5</v>
      </c>
      <c r="C98" s="25">
        <f ca="1">IFERROR(__xludf.DUMMYFUNCTION("""COMPUTED_VALUE"""),30)</f>
        <v>30</v>
      </c>
      <c r="D98" s="25">
        <f ca="1">IFERROR(__xludf.DUMMYFUNCTION("""COMPUTED_VALUE"""),250)</f>
        <v>250</v>
      </c>
      <c r="E98" s="28" t="str">
        <f ca="1">IFERROR(__xludf.DUMMYFUNCTION("""COMPUTED_VALUE"""),"תקשורת")</f>
        <v>תקשורת</v>
      </c>
      <c r="F98" s="25" t="str">
        <f ca="1">IFERROR(__xludf.DUMMYFUNCTION("""COMPUTED_VALUE"""),"טלפונים")</f>
        <v>טלפונים</v>
      </c>
      <c r="G98" s="25" t="str">
        <f ca="1"/>
        <v>ספקים</v>
      </c>
    </row>
    <row r="99" spans="1:7" ht="21.75" customHeight="1">
      <c r="A99" s="29">
        <f ca="1">IFERROR(__xludf.DUMMYFUNCTION("""COMPUTED_VALUE"""),46203)</f>
        <v>46203</v>
      </c>
      <c r="B99" s="25">
        <f ca="1">IFERROR(__xludf.DUMMYFUNCTION("""COMPUTED_VALUE"""),6)</f>
        <v>6</v>
      </c>
      <c r="C99" s="25">
        <f ca="1">IFERROR(__xludf.DUMMYFUNCTION("""COMPUTED_VALUE"""),30)</f>
        <v>30</v>
      </c>
      <c r="D99" s="25">
        <f ca="1">IFERROR(__xludf.DUMMYFUNCTION("""COMPUTED_VALUE"""),250)</f>
        <v>250</v>
      </c>
      <c r="E99" s="28" t="str">
        <f ca="1">IFERROR(__xludf.DUMMYFUNCTION("""COMPUTED_VALUE"""),"תקשורת")</f>
        <v>תקשורת</v>
      </c>
      <c r="F99" s="25" t="str">
        <f ca="1">IFERROR(__xludf.DUMMYFUNCTION("""COMPUTED_VALUE"""),"טלפונים")</f>
        <v>טלפונים</v>
      </c>
      <c r="G99" s="25" t="str">
        <f ca="1"/>
        <v>ספקים</v>
      </c>
    </row>
    <row r="100" spans="1:7" ht="21.75" customHeight="1">
      <c r="A100" s="29">
        <f ca="1">IFERROR(__xludf.DUMMYFUNCTION("""COMPUTED_VALUE"""),46233)</f>
        <v>46233</v>
      </c>
      <c r="B100" s="25">
        <f ca="1">IFERROR(__xludf.DUMMYFUNCTION("""COMPUTED_VALUE"""),7)</f>
        <v>7</v>
      </c>
      <c r="C100" s="25">
        <f ca="1">IFERROR(__xludf.DUMMYFUNCTION("""COMPUTED_VALUE"""),30)</f>
        <v>30</v>
      </c>
      <c r="D100" s="25">
        <f ca="1">IFERROR(__xludf.DUMMYFUNCTION("""COMPUTED_VALUE"""),250)</f>
        <v>250</v>
      </c>
      <c r="E100" s="28" t="str">
        <f ca="1">IFERROR(__xludf.DUMMYFUNCTION("""COMPUTED_VALUE"""),"תקשורת")</f>
        <v>תקשורת</v>
      </c>
      <c r="F100" s="25" t="str">
        <f ca="1">IFERROR(__xludf.DUMMYFUNCTION("""COMPUTED_VALUE"""),"טלפונים")</f>
        <v>טלפונים</v>
      </c>
      <c r="G100" s="25" t="str">
        <f ca="1"/>
        <v>ספקים</v>
      </c>
    </row>
    <row r="101" spans="1:7" ht="21.75" customHeight="1">
      <c r="A101" s="29">
        <f ca="1">IFERROR(__xludf.DUMMYFUNCTION("""COMPUTED_VALUE"""),46264)</f>
        <v>46264</v>
      </c>
      <c r="B101" s="25">
        <f ca="1">IFERROR(__xludf.DUMMYFUNCTION("""COMPUTED_VALUE"""),8)</f>
        <v>8</v>
      </c>
      <c r="C101" s="25">
        <f ca="1">IFERROR(__xludf.DUMMYFUNCTION("""COMPUTED_VALUE"""),30)</f>
        <v>30</v>
      </c>
      <c r="D101" s="25">
        <f ca="1">IFERROR(__xludf.DUMMYFUNCTION("""COMPUTED_VALUE"""),250)</f>
        <v>250</v>
      </c>
      <c r="E101" s="28" t="str">
        <f ca="1">IFERROR(__xludf.DUMMYFUNCTION("""COMPUTED_VALUE"""),"תקשורת")</f>
        <v>תקשורת</v>
      </c>
      <c r="F101" s="25" t="str">
        <f ca="1">IFERROR(__xludf.DUMMYFUNCTION("""COMPUTED_VALUE"""),"טלפונים")</f>
        <v>טלפונים</v>
      </c>
      <c r="G101" s="25" t="str">
        <f ca="1"/>
        <v>ספקים</v>
      </c>
    </row>
    <row r="102" spans="1:7" ht="21.75" customHeight="1">
      <c r="A102" s="29">
        <f ca="1">IFERROR(__xludf.DUMMYFUNCTION("""COMPUTED_VALUE"""),46111)</f>
        <v>46111</v>
      </c>
      <c r="B102" s="25">
        <f ca="1">IFERROR(__xludf.DUMMYFUNCTION("""COMPUTED_VALUE"""),3)</f>
        <v>3</v>
      </c>
      <c r="C102" s="25">
        <f ca="1">IFERROR(__xludf.DUMMYFUNCTION("""COMPUTED_VALUE"""),30)</f>
        <v>30</v>
      </c>
      <c r="D102" s="25">
        <f ca="1">IFERROR(__xludf.DUMMYFUNCTION("""COMPUTED_VALUE"""),250)</f>
        <v>250</v>
      </c>
      <c r="E102" s="28" t="str">
        <f ca="1">IFERROR(__xludf.DUMMYFUNCTION("""COMPUTED_VALUE"""),"פעילויות")</f>
        <v>פעילויות</v>
      </c>
      <c r="F102" s="25" t="str">
        <f ca="1">IFERROR(__xludf.DUMMYFUNCTION("""COMPUTED_VALUE"""),"דואר ומשלוחים")</f>
        <v>דואר ומשלוחים</v>
      </c>
      <c r="G102" s="25" t="str">
        <f ca="1"/>
        <v>ספקים</v>
      </c>
    </row>
    <row r="103" spans="1:7" ht="21.75" customHeight="1">
      <c r="A103" s="29">
        <f ca="1">IFERROR(__xludf.DUMMYFUNCTION("""COMPUTED_VALUE"""),46142)</f>
        <v>46142</v>
      </c>
      <c r="B103" s="25">
        <f ca="1">IFERROR(__xludf.DUMMYFUNCTION("""COMPUTED_VALUE"""),4)</f>
        <v>4</v>
      </c>
      <c r="C103" s="25">
        <f ca="1">IFERROR(__xludf.DUMMYFUNCTION("""COMPUTED_VALUE"""),30)</f>
        <v>30</v>
      </c>
      <c r="D103" s="25">
        <f ca="1">IFERROR(__xludf.DUMMYFUNCTION("""COMPUTED_VALUE"""),250)</f>
        <v>250</v>
      </c>
      <c r="E103" s="28" t="str">
        <f ca="1">IFERROR(__xludf.DUMMYFUNCTION("""COMPUTED_VALUE"""),"פעילויות")</f>
        <v>פעילויות</v>
      </c>
      <c r="F103" s="25" t="str">
        <f ca="1">IFERROR(__xludf.DUMMYFUNCTION("""COMPUTED_VALUE"""),"דואר ומשלוחים")</f>
        <v>דואר ומשלוחים</v>
      </c>
      <c r="G103" s="25" t="str">
        <f ca="1"/>
        <v>ספקים</v>
      </c>
    </row>
    <row r="104" spans="1:7" ht="21.75" customHeight="1">
      <c r="A104" s="29">
        <f ca="1">IFERROR(__xludf.DUMMYFUNCTION("""COMPUTED_VALUE"""),46172)</f>
        <v>46172</v>
      </c>
      <c r="B104" s="25">
        <f ca="1">IFERROR(__xludf.DUMMYFUNCTION("""COMPUTED_VALUE"""),5)</f>
        <v>5</v>
      </c>
      <c r="C104" s="25">
        <f ca="1">IFERROR(__xludf.DUMMYFUNCTION("""COMPUTED_VALUE"""),30)</f>
        <v>30</v>
      </c>
      <c r="D104" s="25">
        <f ca="1">IFERROR(__xludf.DUMMYFUNCTION("""COMPUTED_VALUE"""),250)</f>
        <v>250</v>
      </c>
      <c r="E104" s="28" t="str">
        <f ca="1">IFERROR(__xludf.DUMMYFUNCTION("""COMPUTED_VALUE"""),"פעילויות")</f>
        <v>פעילויות</v>
      </c>
      <c r="F104" s="25" t="str">
        <f ca="1">IFERROR(__xludf.DUMMYFUNCTION("""COMPUTED_VALUE"""),"דואר ומשלוחים")</f>
        <v>דואר ומשלוחים</v>
      </c>
      <c r="G104" s="25" t="str">
        <f ca="1"/>
        <v>ספקים</v>
      </c>
    </row>
    <row r="105" spans="1:7" ht="21.75" customHeight="1">
      <c r="A105" s="29">
        <f ca="1">IFERROR(__xludf.DUMMYFUNCTION("""COMPUTED_VALUE"""),46203)</f>
        <v>46203</v>
      </c>
      <c r="B105" s="25">
        <f ca="1">IFERROR(__xludf.DUMMYFUNCTION("""COMPUTED_VALUE"""),6)</f>
        <v>6</v>
      </c>
      <c r="C105" s="25">
        <f ca="1">IFERROR(__xludf.DUMMYFUNCTION("""COMPUTED_VALUE"""),30)</f>
        <v>30</v>
      </c>
      <c r="D105" s="25">
        <f ca="1">IFERROR(__xludf.DUMMYFUNCTION("""COMPUTED_VALUE"""),250)</f>
        <v>250</v>
      </c>
      <c r="E105" s="28" t="str">
        <f ca="1">IFERROR(__xludf.DUMMYFUNCTION("""COMPUTED_VALUE"""),"פעילויות")</f>
        <v>פעילויות</v>
      </c>
      <c r="F105" s="25" t="str">
        <f ca="1">IFERROR(__xludf.DUMMYFUNCTION("""COMPUTED_VALUE"""),"דואר ומשלוחים")</f>
        <v>דואר ומשלוחים</v>
      </c>
      <c r="G105" s="25" t="str">
        <f ca="1"/>
        <v>ספקים</v>
      </c>
    </row>
    <row r="106" spans="1:7" ht="21.75" customHeight="1">
      <c r="A106" s="29">
        <f ca="1">IFERROR(__xludf.DUMMYFUNCTION("""COMPUTED_VALUE"""),46233)</f>
        <v>46233</v>
      </c>
      <c r="B106" s="25">
        <f ca="1">IFERROR(__xludf.DUMMYFUNCTION("""COMPUTED_VALUE"""),7)</f>
        <v>7</v>
      </c>
      <c r="C106" s="25">
        <f ca="1">IFERROR(__xludf.DUMMYFUNCTION("""COMPUTED_VALUE"""),30)</f>
        <v>30</v>
      </c>
      <c r="D106" s="25">
        <f ca="1">IFERROR(__xludf.DUMMYFUNCTION("""COMPUTED_VALUE"""),250)</f>
        <v>250</v>
      </c>
      <c r="E106" s="28" t="str">
        <f ca="1">IFERROR(__xludf.DUMMYFUNCTION("""COMPUTED_VALUE"""),"פעילויות")</f>
        <v>פעילויות</v>
      </c>
      <c r="F106" s="25" t="str">
        <f ca="1">IFERROR(__xludf.DUMMYFUNCTION("""COMPUTED_VALUE"""),"דואר ומשלוחים")</f>
        <v>דואר ומשלוחים</v>
      </c>
      <c r="G106" s="25" t="str">
        <f ca="1"/>
        <v>ספקים</v>
      </c>
    </row>
    <row r="107" spans="1:7" ht="21.75" customHeight="1">
      <c r="A107" s="29">
        <f ca="1">IFERROR(__xludf.DUMMYFUNCTION("""COMPUTED_VALUE"""),46142)</f>
        <v>46142</v>
      </c>
      <c r="B107" s="25">
        <f ca="1">IFERROR(__xludf.DUMMYFUNCTION("""COMPUTED_VALUE"""),4)</f>
        <v>4</v>
      </c>
      <c r="C107" s="25">
        <f ca="1">IFERROR(__xludf.DUMMYFUNCTION("""COMPUTED_VALUE"""),30)</f>
        <v>30</v>
      </c>
      <c r="D107" s="25">
        <f ca="1">IFERROR(__xludf.DUMMYFUNCTION("""COMPUTED_VALUE"""),1000)</f>
        <v>1000</v>
      </c>
      <c r="E107" s="28" t="str">
        <f ca="1">IFERROR(__xludf.DUMMYFUNCTION("""COMPUTED_VALUE"""),"עובדים")</f>
        <v>עובדים</v>
      </c>
      <c r="F107" s="25" t="str">
        <f ca="1">IFERROR(__xludf.DUMMYFUNCTION("""COMPUTED_VALUE"""),"חניות")</f>
        <v>חניות</v>
      </c>
      <c r="G107" s="25" t="str">
        <f ca="1"/>
        <v>ספקים</v>
      </c>
    </row>
    <row r="108" spans="1:7" ht="21.75" customHeight="1">
      <c r="A108" s="29">
        <f ca="1">IFERROR(__xludf.DUMMYFUNCTION("""COMPUTED_VALUE"""),46172)</f>
        <v>46172</v>
      </c>
      <c r="B108" s="25">
        <f ca="1">IFERROR(__xludf.DUMMYFUNCTION("""COMPUTED_VALUE"""),5)</f>
        <v>5</v>
      </c>
      <c r="C108" s="25">
        <f ca="1">IFERROR(__xludf.DUMMYFUNCTION("""COMPUTED_VALUE"""),30)</f>
        <v>30</v>
      </c>
      <c r="D108" s="25">
        <f ca="1">IFERROR(__xludf.DUMMYFUNCTION("""COMPUTED_VALUE"""),250)</f>
        <v>250</v>
      </c>
      <c r="E108" s="28" t="str">
        <f ca="1">IFERROR(__xludf.DUMMYFUNCTION("""COMPUTED_VALUE"""),"עובדים")</f>
        <v>עובדים</v>
      </c>
      <c r="F108" s="25" t="str">
        <f ca="1">IFERROR(__xludf.DUMMYFUNCTION("""COMPUTED_VALUE"""),"חניות")</f>
        <v>חניות</v>
      </c>
      <c r="G108" s="25" t="str">
        <f ca="1"/>
        <v>ספקים</v>
      </c>
    </row>
    <row r="109" spans="1:7" ht="21.75" customHeight="1">
      <c r="A109" s="29">
        <f ca="1">IFERROR(__xludf.DUMMYFUNCTION("""COMPUTED_VALUE"""),46203)</f>
        <v>46203</v>
      </c>
      <c r="B109" s="25">
        <f ca="1">IFERROR(__xludf.DUMMYFUNCTION("""COMPUTED_VALUE"""),6)</f>
        <v>6</v>
      </c>
      <c r="C109" s="25">
        <f ca="1">IFERROR(__xludf.DUMMYFUNCTION("""COMPUTED_VALUE"""),30)</f>
        <v>30</v>
      </c>
      <c r="D109" s="25">
        <f ca="1">IFERROR(__xludf.DUMMYFUNCTION("""COMPUTED_VALUE"""),500)</f>
        <v>500</v>
      </c>
      <c r="E109" s="28" t="str">
        <f ca="1">IFERROR(__xludf.DUMMYFUNCTION("""COMPUTED_VALUE"""),"עובדים")</f>
        <v>עובדים</v>
      </c>
      <c r="F109" s="25" t="str">
        <f ca="1">IFERROR(__xludf.DUMMYFUNCTION("""COMPUTED_VALUE"""),"חניות")</f>
        <v>חניות</v>
      </c>
      <c r="G109" s="25" t="str">
        <f ca="1"/>
        <v>ספקים</v>
      </c>
    </row>
    <row r="110" spans="1:7" ht="21.75" customHeight="1">
      <c r="A110" s="29">
        <f ca="1">IFERROR(__xludf.DUMMYFUNCTION("""COMPUTED_VALUE"""),46111)</f>
        <v>46111</v>
      </c>
      <c r="B110" s="25">
        <f ca="1">IFERROR(__xludf.DUMMYFUNCTION("""COMPUTED_VALUE"""),3)</f>
        <v>3</v>
      </c>
      <c r="C110" s="25">
        <f ca="1">IFERROR(__xludf.DUMMYFUNCTION("""COMPUTED_VALUE"""),30)</f>
        <v>30</v>
      </c>
      <c r="D110" s="25">
        <f ca="1">IFERROR(__xludf.DUMMYFUNCTION("""COMPUTED_VALUE"""),500)</f>
        <v>500</v>
      </c>
      <c r="E110" s="28" t="str">
        <f ca="1">IFERROR(__xludf.DUMMYFUNCTION("""COMPUTED_VALUE"""),"נותני שירות")</f>
        <v>נותני שירות</v>
      </c>
      <c r="F110" s="25" t="str">
        <f ca="1">IFERROR(__xludf.DUMMYFUNCTION("""COMPUTED_VALUE"""),"הנהלת חשבונות")</f>
        <v>הנהלת חשבונות</v>
      </c>
      <c r="G110" s="25" t="str">
        <f ca="1"/>
        <v>ספקים</v>
      </c>
    </row>
    <row r="111" spans="1:7" ht="21.75" customHeight="1">
      <c r="A111" s="29">
        <f ca="1">IFERROR(__xludf.DUMMYFUNCTION("""COMPUTED_VALUE"""),46142)</f>
        <v>46142</v>
      </c>
      <c r="B111" s="25">
        <f ca="1">IFERROR(__xludf.DUMMYFUNCTION("""COMPUTED_VALUE"""),4)</f>
        <v>4</v>
      </c>
      <c r="C111" s="25">
        <f ca="1">IFERROR(__xludf.DUMMYFUNCTION("""COMPUTED_VALUE"""),30)</f>
        <v>30</v>
      </c>
      <c r="D111" s="25">
        <f ca="1">IFERROR(__xludf.DUMMYFUNCTION("""COMPUTED_VALUE"""),500)</f>
        <v>500</v>
      </c>
      <c r="E111" s="28" t="str">
        <f ca="1">IFERROR(__xludf.DUMMYFUNCTION("""COMPUTED_VALUE"""),"נותני שירות")</f>
        <v>נותני שירות</v>
      </c>
      <c r="F111" s="25" t="str">
        <f ca="1">IFERROR(__xludf.DUMMYFUNCTION("""COMPUTED_VALUE"""),"הנהלת חשבונות")</f>
        <v>הנהלת חשבונות</v>
      </c>
      <c r="G111" s="25" t="str">
        <f ca="1"/>
        <v>ספקים</v>
      </c>
    </row>
    <row r="112" spans="1:7" ht="21.75" customHeight="1">
      <c r="A112" s="29">
        <f ca="1">IFERROR(__xludf.DUMMYFUNCTION("""COMPUTED_VALUE"""),46172)</f>
        <v>46172</v>
      </c>
      <c r="B112" s="25">
        <f ca="1">IFERROR(__xludf.DUMMYFUNCTION("""COMPUTED_VALUE"""),5)</f>
        <v>5</v>
      </c>
      <c r="C112" s="25">
        <f ca="1">IFERROR(__xludf.DUMMYFUNCTION("""COMPUTED_VALUE"""),30)</f>
        <v>30</v>
      </c>
      <c r="D112" s="25">
        <f ca="1">IFERROR(__xludf.DUMMYFUNCTION("""COMPUTED_VALUE"""),500)</f>
        <v>500</v>
      </c>
      <c r="E112" s="28" t="str">
        <f ca="1">IFERROR(__xludf.DUMMYFUNCTION("""COMPUTED_VALUE"""),"נותני שירות")</f>
        <v>נותני שירות</v>
      </c>
      <c r="F112" s="25" t="str">
        <f ca="1">IFERROR(__xludf.DUMMYFUNCTION("""COMPUTED_VALUE"""),"הנהלת חשבונות")</f>
        <v>הנהלת חשבונות</v>
      </c>
      <c r="G112" s="25" t="str">
        <f ca="1"/>
        <v>ספקים</v>
      </c>
    </row>
    <row r="113" spans="1:7" ht="21.75" customHeight="1">
      <c r="A113" s="29">
        <f ca="1">IFERROR(__xludf.DUMMYFUNCTION("""COMPUTED_VALUE"""),46203)</f>
        <v>46203</v>
      </c>
      <c r="B113" s="25">
        <f ca="1">IFERROR(__xludf.DUMMYFUNCTION("""COMPUTED_VALUE"""),6)</f>
        <v>6</v>
      </c>
      <c r="C113" s="25">
        <f ca="1">IFERROR(__xludf.DUMMYFUNCTION("""COMPUTED_VALUE"""),30)</f>
        <v>30</v>
      </c>
      <c r="D113" s="25">
        <f ca="1">IFERROR(__xludf.DUMMYFUNCTION("""COMPUTED_VALUE"""),500)</f>
        <v>500</v>
      </c>
      <c r="E113" s="28" t="str">
        <f ca="1">IFERROR(__xludf.DUMMYFUNCTION("""COMPUTED_VALUE"""),"נותני שירות")</f>
        <v>נותני שירות</v>
      </c>
      <c r="F113" s="25" t="str">
        <f ca="1">IFERROR(__xludf.DUMMYFUNCTION("""COMPUTED_VALUE"""),"הנהלת חשבונות")</f>
        <v>הנהלת חשבונות</v>
      </c>
      <c r="G113" s="25" t="str">
        <f ca="1"/>
        <v>ספקים</v>
      </c>
    </row>
    <row r="114" spans="1:7" ht="21.75" customHeight="1">
      <c r="A114" s="29">
        <f ca="1">IFERROR(__xludf.DUMMYFUNCTION("""COMPUTED_VALUE"""),46233)</f>
        <v>46233</v>
      </c>
      <c r="B114" s="25">
        <f ca="1">IFERROR(__xludf.DUMMYFUNCTION("""COMPUTED_VALUE"""),7)</f>
        <v>7</v>
      </c>
      <c r="C114" s="25">
        <f ca="1">IFERROR(__xludf.DUMMYFUNCTION("""COMPUTED_VALUE"""),30)</f>
        <v>30</v>
      </c>
      <c r="D114" s="25">
        <f ca="1">IFERROR(__xludf.DUMMYFUNCTION("""COMPUTED_VALUE"""),500)</f>
        <v>500</v>
      </c>
      <c r="E114" s="28" t="str">
        <f ca="1">IFERROR(__xludf.DUMMYFUNCTION("""COMPUTED_VALUE"""),"נותני שירות")</f>
        <v>נותני שירות</v>
      </c>
      <c r="F114" s="25" t="str">
        <f ca="1">IFERROR(__xludf.DUMMYFUNCTION("""COMPUTED_VALUE"""),"הנהלת חשבונות")</f>
        <v>הנהלת חשבונות</v>
      </c>
      <c r="G114" s="25" t="str">
        <f ca="1"/>
        <v>ספקים</v>
      </c>
    </row>
    <row r="115" spans="1:7" ht="21.75" customHeight="1">
      <c r="A115" s="29">
        <f ca="1">IFERROR(__xludf.DUMMYFUNCTION("""COMPUTED_VALUE"""),46264)</f>
        <v>46264</v>
      </c>
      <c r="B115" s="25">
        <f ca="1">IFERROR(__xludf.DUMMYFUNCTION("""COMPUTED_VALUE"""),8)</f>
        <v>8</v>
      </c>
      <c r="C115" s="25">
        <f ca="1">IFERROR(__xludf.DUMMYFUNCTION("""COMPUTED_VALUE"""),30)</f>
        <v>30</v>
      </c>
      <c r="D115" s="25">
        <f ca="1">IFERROR(__xludf.DUMMYFUNCTION("""COMPUTED_VALUE"""),500)</f>
        <v>500</v>
      </c>
      <c r="E115" s="28" t="str">
        <f ca="1">IFERROR(__xludf.DUMMYFUNCTION("""COMPUTED_VALUE"""),"נותני שירות")</f>
        <v>נותני שירות</v>
      </c>
      <c r="F115" s="25" t="str">
        <f ca="1">IFERROR(__xludf.DUMMYFUNCTION("""COMPUTED_VALUE"""),"הנהלת חשבונות")</f>
        <v>הנהלת חשבונות</v>
      </c>
      <c r="G115" s="25" t="str">
        <f ca="1"/>
        <v>ספקים</v>
      </c>
    </row>
    <row r="116" spans="1:7" ht="21.75" customHeight="1">
      <c r="A116" s="29">
        <f ca="1">IFERROR(__xludf.DUMMYFUNCTION("""COMPUTED_VALUE"""),46111)</f>
        <v>46111</v>
      </c>
      <c r="B116" s="25">
        <f ca="1">IFERROR(__xludf.DUMMYFUNCTION("""COMPUTED_VALUE"""),3)</f>
        <v>3</v>
      </c>
      <c r="C116" s="25">
        <f ca="1">IFERROR(__xludf.DUMMYFUNCTION("""COMPUTED_VALUE"""),30)</f>
        <v>30</v>
      </c>
      <c r="D116" s="25">
        <f ca="1">IFERROR(__xludf.DUMMYFUNCTION("""COMPUTED_VALUE"""),700)</f>
        <v>700</v>
      </c>
      <c r="E116" s="28" t="str">
        <f ca="1">IFERROR(__xludf.DUMMYFUNCTION("""COMPUTED_VALUE"""),"משרדיות")</f>
        <v>משרדיות</v>
      </c>
      <c r="F116" s="25" t="str">
        <f ca="1">IFERROR(__xludf.DUMMYFUNCTION("""COMPUTED_VALUE"""),"השכרת משרד")</f>
        <v>השכרת משרד</v>
      </c>
      <c r="G116" s="25" t="str">
        <f ca="1"/>
        <v>ספקים</v>
      </c>
    </row>
    <row r="117" spans="1:7" ht="21.75" customHeight="1">
      <c r="A117" s="29">
        <f ca="1">IFERROR(__xludf.DUMMYFUNCTION("""COMPUTED_VALUE"""),46142)</f>
        <v>46142</v>
      </c>
      <c r="B117" s="25">
        <f ca="1">IFERROR(__xludf.DUMMYFUNCTION("""COMPUTED_VALUE"""),4)</f>
        <v>4</v>
      </c>
      <c r="C117" s="25">
        <f ca="1">IFERROR(__xludf.DUMMYFUNCTION("""COMPUTED_VALUE"""),30)</f>
        <v>30</v>
      </c>
      <c r="D117" s="25">
        <f ca="1">IFERROR(__xludf.DUMMYFUNCTION("""COMPUTED_VALUE"""),1000)</f>
        <v>1000</v>
      </c>
      <c r="E117" s="28" t="str">
        <f ca="1">IFERROR(__xludf.DUMMYFUNCTION("""COMPUTED_VALUE"""),"משרדיות")</f>
        <v>משרדיות</v>
      </c>
      <c r="F117" s="25" t="str">
        <f ca="1">IFERROR(__xludf.DUMMYFUNCTION("""COMPUTED_VALUE"""),"השכרת משרד")</f>
        <v>השכרת משרד</v>
      </c>
      <c r="G117" s="25" t="str">
        <f ca="1"/>
        <v>ספקים</v>
      </c>
    </row>
    <row r="118" spans="1:7" ht="21.75" customHeight="1">
      <c r="A118" s="29">
        <f ca="1">IFERROR(__xludf.DUMMYFUNCTION("""COMPUTED_VALUE"""),46172)</f>
        <v>46172</v>
      </c>
      <c r="B118" s="25">
        <f ca="1">IFERROR(__xludf.DUMMYFUNCTION("""COMPUTED_VALUE"""),5)</f>
        <v>5</v>
      </c>
      <c r="C118" s="25">
        <f ca="1">IFERROR(__xludf.DUMMYFUNCTION("""COMPUTED_VALUE"""),30)</f>
        <v>30</v>
      </c>
      <c r="D118" s="25">
        <f ca="1">IFERROR(__xludf.DUMMYFUNCTION("""COMPUTED_VALUE"""),1000)</f>
        <v>1000</v>
      </c>
      <c r="E118" s="28" t="str">
        <f ca="1">IFERROR(__xludf.DUMMYFUNCTION("""COMPUTED_VALUE"""),"משרדיות")</f>
        <v>משרדיות</v>
      </c>
      <c r="F118" s="25" t="str">
        <f ca="1">IFERROR(__xludf.DUMMYFUNCTION("""COMPUTED_VALUE"""),"השכרת משרד")</f>
        <v>השכרת משרד</v>
      </c>
      <c r="G118" s="25" t="str">
        <f ca="1"/>
        <v>ספקים</v>
      </c>
    </row>
    <row r="119" spans="1:7" ht="21.75" customHeight="1">
      <c r="A119" s="29">
        <f ca="1">IFERROR(__xludf.DUMMYFUNCTION("""COMPUTED_VALUE"""),46203)</f>
        <v>46203</v>
      </c>
      <c r="B119" s="25">
        <f ca="1">IFERROR(__xludf.DUMMYFUNCTION("""COMPUTED_VALUE"""),6)</f>
        <v>6</v>
      </c>
      <c r="C119" s="25">
        <f ca="1">IFERROR(__xludf.DUMMYFUNCTION("""COMPUTED_VALUE"""),30)</f>
        <v>30</v>
      </c>
      <c r="D119" s="25">
        <f ca="1">IFERROR(__xludf.DUMMYFUNCTION("""COMPUTED_VALUE"""),1000)</f>
        <v>1000</v>
      </c>
      <c r="E119" s="28" t="str">
        <f ca="1">IFERROR(__xludf.DUMMYFUNCTION("""COMPUTED_VALUE"""),"משרדיות")</f>
        <v>משרדיות</v>
      </c>
      <c r="F119" s="25" t="str">
        <f ca="1">IFERROR(__xludf.DUMMYFUNCTION("""COMPUTED_VALUE"""),"השכרת משרד")</f>
        <v>השכרת משרד</v>
      </c>
      <c r="G119" s="25" t="str">
        <f ca="1"/>
        <v>ספקים</v>
      </c>
    </row>
    <row r="120" spans="1:7" ht="21.75" customHeight="1">
      <c r="A120" s="29">
        <f ca="1">IFERROR(__xludf.DUMMYFUNCTION("""COMPUTED_VALUE"""),46111)</f>
        <v>46111</v>
      </c>
      <c r="B120" s="25">
        <f ca="1">IFERROR(__xludf.DUMMYFUNCTION("""COMPUTED_VALUE"""),3)</f>
        <v>3</v>
      </c>
      <c r="C120" s="25">
        <f ca="1">IFERROR(__xludf.DUMMYFUNCTION("""COMPUTED_VALUE"""),30)</f>
        <v>30</v>
      </c>
      <c r="D120" s="25">
        <f ca="1">IFERROR(__xludf.DUMMYFUNCTION("""COMPUTED_VALUE"""),1000)</f>
        <v>1000</v>
      </c>
      <c r="E120" s="28" t="str">
        <f ca="1">IFERROR(__xludf.DUMMYFUNCTION("""COMPUTED_VALUE"""),"פעילויות")</f>
        <v>פעילויות</v>
      </c>
      <c r="F120" s="25" t="str">
        <f ca="1">IFERROR(__xludf.DUMMYFUNCTION("""COMPUTED_VALUE"""),"דפוס")</f>
        <v>דפוס</v>
      </c>
      <c r="G120" s="25" t="str">
        <f ca="1"/>
        <v>ספקים</v>
      </c>
    </row>
    <row r="121" spans="1:7" ht="21.75" customHeight="1">
      <c r="A121" s="29">
        <f ca="1">IFERROR(__xludf.DUMMYFUNCTION("""COMPUTED_VALUE"""),46142)</f>
        <v>46142</v>
      </c>
      <c r="B121" s="25">
        <f ca="1">IFERROR(__xludf.DUMMYFUNCTION("""COMPUTED_VALUE"""),4)</f>
        <v>4</v>
      </c>
      <c r="C121" s="25">
        <f ca="1">IFERROR(__xludf.DUMMYFUNCTION("""COMPUTED_VALUE"""),30)</f>
        <v>30</v>
      </c>
      <c r="D121" s="25">
        <f ca="1">IFERROR(__xludf.DUMMYFUNCTION("""COMPUTED_VALUE"""),250)</f>
        <v>250</v>
      </c>
      <c r="E121" s="28" t="str">
        <f ca="1">IFERROR(__xludf.DUMMYFUNCTION("""COMPUTED_VALUE"""),"פעילויות")</f>
        <v>פעילויות</v>
      </c>
      <c r="F121" s="25" t="str">
        <f ca="1">IFERROR(__xludf.DUMMYFUNCTION("""COMPUTED_VALUE"""),"דפוס")</f>
        <v>דפוס</v>
      </c>
      <c r="G121" s="25" t="str">
        <f ca="1"/>
        <v>ספקים</v>
      </c>
    </row>
    <row r="122" spans="1:7" ht="21.75" customHeight="1">
      <c r="A122" s="29">
        <f ca="1">IFERROR(__xludf.DUMMYFUNCTION("""COMPUTED_VALUE"""),46172)</f>
        <v>46172</v>
      </c>
      <c r="B122" s="25">
        <f ca="1">IFERROR(__xludf.DUMMYFUNCTION("""COMPUTED_VALUE"""),5)</f>
        <v>5</v>
      </c>
      <c r="C122" s="25">
        <f ca="1">IFERROR(__xludf.DUMMYFUNCTION("""COMPUTED_VALUE"""),30)</f>
        <v>30</v>
      </c>
      <c r="D122" s="25">
        <f ca="1">IFERROR(__xludf.DUMMYFUNCTION("""COMPUTED_VALUE"""),250)</f>
        <v>250</v>
      </c>
      <c r="E122" s="28" t="str">
        <f ca="1">IFERROR(__xludf.DUMMYFUNCTION("""COMPUTED_VALUE"""),"פעילויות")</f>
        <v>פעילויות</v>
      </c>
      <c r="F122" s="25" t="str">
        <f ca="1">IFERROR(__xludf.DUMMYFUNCTION("""COMPUTED_VALUE"""),"דפוס")</f>
        <v>דפוס</v>
      </c>
      <c r="G122" s="25" t="str">
        <f ca="1"/>
        <v>ספקים</v>
      </c>
    </row>
    <row r="123" spans="1:7" ht="21.75" customHeight="1">
      <c r="A123" s="29">
        <f ca="1">IFERROR(__xludf.DUMMYFUNCTION("""COMPUTED_VALUE"""),46203)</f>
        <v>46203</v>
      </c>
      <c r="B123" s="25">
        <f ca="1">IFERROR(__xludf.DUMMYFUNCTION("""COMPUTED_VALUE"""),6)</f>
        <v>6</v>
      </c>
      <c r="C123" s="25">
        <f ca="1">IFERROR(__xludf.DUMMYFUNCTION("""COMPUTED_VALUE"""),30)</f>
        <v>30</v>
      </c>
      <c r="D123" s="25">
        <f ca="1">IFERROR(__xludf.DUMMYFUNCTION("""COMPUTED_VALUE"""),1000)</f>
        <v>1000</v>
      </c>
      <c r="E123" s="28" t="str">
        <f ca="1">IFERROR(__xludf.DUMMYFUNCTION("""COMPUTED_VALUE"""),"פעילויות")</f>
        <v>פעילויות</v>
      </c>
      <c r="F123" s="25" t="str">
        <f ca="1">IFERROR(__xludf.DUMMYFUNCTION("""COMPUTED_VALUE"""),"דפוס")</f>
        <v>דפוס</v>
      </c>
      <c r="G123" s="25" t="str">
        <f ca="1"/>
        <v>ספקים</v>
      </c>
    </row>
    <row r="124" spans="1:7" ht="21.75" customHeight="1">
      <c r="A124" s="29">
        <f ca="1">IFERROR(__xludf.DUMMYFUNCTION("""COMPUTED_VALUE"""),46109)</f>
        <v>46109</v>
      </c>
      <c r="B124" s="25">
        <f ca="1">IFERROR(__xludf.DUMMYFUNCTION("""COMPUTED_VALUE"""),3)</f>
        <v>3</v>
      </c>
      <c r="C124" s="25">
        <f ca="1">IFERROR(__xludf.DUMMYFUNCTION("""COMPUTED_VALUE"""),28)</f>
        <v>28</v>
      </c>
      <c r="D124" s="25">
        <f ca="1">IFERROR(__xludf.DUMMYFUNCTION("""COMPUTED_VALUE"""),10000)</f>
        <v>10000</v>
      </c>
      <c r="E124" s="28" t="str">
        <f ca="1">IFERROR(__xludf.DUMMYFUNCTION("""COMPUTED_VALUE"""),"חובות ישנים")</f>
        <v>חובות ישנים</v>
      </c>
      <c r="F124" s="25" t="str">
        <f ca="1">IFERROR(__xludf.DUMMYFUNCTION("""COMPUTED_VALUE"""),"עמלות (יעל אביב)")</f>
        <v>עמלות (יעל אביב)</v>
      </c>
      <c r="G124" s="25" t="str">
        <f ca="1"/>
        <v>חובות ישנים</v>
      </c>
    </row>
    <row r="125" spans="1:7" ht="21.75" customHeight="1">
      <c r="A125" s="29">
        <f ca="1">IFERROR(__xludf.DUMMYFUNCTION("""COMPUTED_VALUE"""),46140)</f>
        <v>46140</v>
      </c>
      <c r="B125" s="25">
        <f ca="1">IFERROR(__xludf.DUMMYFUNCTION("""COMPUTED_VALUE"""),4)</f>
        <v>4</v>
      </c>
      <c r="C125" s="25">
        <f ca="1">IFERROR(__xludf.DUMMYFUNCTION("""COMPUTED_VALUE"""),28)</f>
        <v>28</v>
      </c>
      <c r="D125" s="25">
        <f ca="1">IFERROR(__xludf.DUMMYFUNCTION("""COMPUTED_VALUE"""),15000)</f>
        <v>15000</v>
      </c>
      <c r="E125" s="28" t="str">
        <f ca="1">IFERROR(__xludf.DUMMYFUNCTION("""COMPUTED_VALUE"""),"חובות ישנים")</f>
        <v>חובות ישנים</v>
      </c>
      <c r="F125" s="25" t="str">
        <f ca="1">IFERROR(__xludf.DUMMYFUNCTION("""COMPUTED_VALUE"""),"עמלות (יעל אביב)")</f>
        <v>עמלות (יעל אביב)</v>
      </c>
      <c r="G125" s="25" t="str">
        <f ca="1"/>
        <v>חובות ישנים</v>
      </c>
    </row>
    <row r="126" spans="1:7" ht="21.75" customHeight="1">
      <c r="A126" s="29">
        <f ca="1">IFERROR(__xludf.DUMMYFUNCTION("""COMPUTED_VALUE"""),46109)</f>
        <v>46109</v>
      </c>
      <c r="B126" s="25">
        <f ca="1">IFERROR(__xludf.DUMMYFUNCTION("""COMPUTED_VALUE"""),3)</f>
        <v>3</v>
      </c>
      <c r="C126" s="25">
        <f ca="1">IFERROR(__xludf.DUMMYFUNCTION("""COMPUTED_VALUE"""),28)</f>
        <v>28</v>
      </c>
      <c r="D126" s="25">
        <f ca="1">IFERROR(__xludf.DUMMYFUNCTION("""COMPUTED_VALUE"""),10000)</f>
        <v>10000</v>
      </c>
      <c r="E126" s="28" t="str">
        <f ca="1">IFERROR(__xludf.DUMMYFUNCTION("""COMPUTED_VALUE"""),"חובות ישנים")</f>
        <v>חובות ישנים</v>
      </c>
      <c r="F126" s="25" t="str">
        <f ca="1">IFERROR(__xludf.DUMMYFUNCTION("""COMPUTED_VALUE"""),"שלומית משה")</f>
        <v>שלומית משה</v>
      </c>
      <c r="G126" s="25" t="str">
        <f ca="1"/>
        <v>חובות ישנים</v>
      </c>
    </row>
    <row r="127" spans="1:7" ht="21.75" customHeight="1">
      <c r="A127" s="29">
        <f ca="1">IFERROR(__xludf.DUMMYFUNCTION("""COMPUTED_VALUE"""),46140)</f>
        <v>46140</v>
      </c>
      <c r="B127" s="25">
        <f ca="1">IFERROR(__xludf.DUMMYFUNCTION("""COMPUTED_VALUE"""),4)</f>
        <v>4</v>
      </c>
      <c r="C127" s="25">
        <f ca="1">IFERROR(__xludf.DUMMYFUNCTION("""COMPUTED_VALUE"""),28)</f>
        <v>28</v>
      </c>
      <c r="D127" s="25">
        <f ca="1">IFERROR(__xludf.DUMMYFUNCTION("""COMPUTED_VALUE"""),6600)</f>
        <v>6600</v>
      </c>
      <c r="E127" s="28" t="str">
        <f ca="1">IFERROR(__xludf.DUMMYFUNCTION("""COMPUTED_VALUE"""),"חובות ישנים")</f>
        <v>חובות ישנים</v>
      </c>
      <c r="F127" s="25" t="str">
        <f ca="1">IFERROR(__xludf.DUMMYFUNCTION("""COMPUTED_VALUE"""),"שלומית משה")</f>
        <v>שלומית משה</v>
      </c>
      <c r="G127" s="25" t="str">
        <f ca="1"/>
        <v>חובות ישנים</v>
      </c>
    </row>
    <row r="128" spans="1:7" ht="21.75" customHeight="1">
      <c r="A128" s="29">
        <f ca="1">IFERROR(__xludf.DUMMYFUNCTION("""COMPUTED_VALUE"""),46109)</f>
        <v>46109</v>
      </c>
      <c r="B128" s="25">
        <f ca="1">IFERROR(__xludf.DUMMYFUNCTION("""COMPUTED_VALUE"""),3)</f>
        <v>3</v>
      </c>
      <c r="C128" s="25">
        <f ca="1">IFERROR(__xludf.DUMMYFUNCTION("""COMPUTED_VALUE"""),28)</f>
        <v>28</v>
      </c>
      <c r="D128" s="25">
        <f ca="1">IFERROR(__xludf.DUMMYFUNCTION("""COMPUTED_VALUE"""),4000)</f>
        <v>4000</v>
      </c>
      <c r="E128" s="28" t="str">
        <f ca="1">IFERROR(__xludf.DUMMYFUNCTION("""COMPUTED_VALUE"""),"חובות ישנים")</f>
        <v>חובות ישנים</v>
      </c>
      <c r="F128" s="25" t="str">
        <f ca="1">IFERROR(__xludf.DUMMYFUNCTION("""COMPUTED_VALUE"""),"בוריס")</f>
        <v>בוריס</v>
      </c>
      <c r="G128" s="25" t="str">
        <f ca="1"/>
        <v>חובות ישנים</v>
      </c>
    </row>
    <row r="129" spans="1:7" ht="21.75" customHeight="1">
      <c r="A129" s="29"/>
      <c r="E129" s="28"/>
      <c r="G129" s="25">
        <v>0</v>
      </c>
    </row>
    <row r="130" spans="1:7" ht="21.75" customHeight="1">
      <c r="A130" s="29"/>
      <c r="E130" s="28"/>
      <c r="G130" s="25">
        <v>0</v>
      </c>
    </row>
    <row r="131" spans="1:7" ht="21.75" customHeight="1">
      <c r="A131" s="29"/>
      <c r="E131" s="28"/>
      <c r="G131" s="25">
        <v>0</v>
      </c>
    </row>
    <row r="132" spans="1:7" ht="21.75" customHeight="1">
      <c r="A132" s="29"/>
      <c r="E132" s="28"/>
      <c r="G132" s="25">
        <v>0</v>
      </c>
    </row>
    <row r="133" spans="1:7" ht="21.75" customHeight="1">
      <c r="A133" s="29"/>
      <c r="E133" s="28"/>
      <c r="G133" s="25">
        <v>0</v>
      </c>
    </row>
    <row r="134" spans="1:7" ht="21.75" customHeight="1">
      <c r="A134" s="29"/>
      <c r="E134" s="28"/>
      <c r="G134" s="25">
        <v>0</v>
      </c>
    </row>
    <row r="135" spans="1:7" ht="21.75" customHeight="1">
      <c r="A135" s="29"/>
      <c r="E135" s="28"/>
      <c r="G135" s="25">
        <v>0</v>
      </c>
    </row>
    <row r="136" spans="1:7" ht="21.75" customHeight="1">
      <c r="A136" s="29"/>
      <c r="E136" s="28"/>
      <c r="G136" s="25">
        <v>0</v>
      </c>
    </row>
    <row r="137" spans="1:7" ht="21.75" customHeight="1">
      <c r="A137" s="29"/>
      <c r="E137" s="28"/>
      <c r="G137" s="25">
        <v>0</v>
      </c>
    </row>
    <row r="138" spans="1:7" ht="21.75" customHeight="1">
      <c r="A138" s="29"/>
      <c r="E138" s="28"/>
      <c r="G138" s="25">
        <v>0</v>
      </c>
    </row>
    <row r="139" spans="1:7" ht="21.75" customHeight="1">
      <c r="A139" s="29"/>
      <c r="E139" s="28"/>
      <c r="G139" s="25">
        <v>0</v>
      </c>
    </row>
    <row r="140" spans="1:7" ht="21.75" customHeight="1">
      <c r="A140" s="29"/>
      <c r="E140" s="28"/>
      <c r="G140" s="25">
        <v>0</v>
      </c>
    </row>
    <row r="141" spans="1:7" ht="21.75" customHeight="1">
      <c r="A141" s="29"/>
      <c r="E141" s="28"/>
      <c r="G141" s="25">
        <v>0</v>
      </c>
    </row>
    <row r="142" spans="1:7" ht="21.75" customHeight="1">
      <c r="A142" s="29"/>
      <c r="E142" s="28"/>
      <c r="G142" s="25">
        <v>0</v>
      </c>
    </row>
    <row r="143" spans="1:7" ht="21.75" customHeight="1">
      <c r="A143" s="29"/>
      <c r="E143" s="28"/>
      <c r="G143" s="25">
        <v>0</v>
      </c>
    </row>
    <row r="144" spans="1:7" ht="21.75" customHeight="1">
      <c r="A144" s="29"/>
      <c r="E144" s="28"/>
      <c r="G144" s="25">
        <v>0</v>
      </c>
    </row>
    <row r="145" spans="1:7" ht="21.75" customHeight="1">
      <c r="A145" s="29"/>
      <c r="E145" s="28"/>
      <c r="G145" s="25">
        <v>0</v>
      </c>
    </row>
    <row r="146" spans="1:7" ht="21.75" customHeight="1">
      <c r="A146" s="29"/>
      <c r="E146" s="28"/>
      <c r="G146" s="25">
        <v>0</v>
      </c>
    </row>
    <row r="147" spans="1:7" ht="21.75" customHeight="1">
      <c r="A147" s="29"/>
      <c r="E147" s="28"/>
      <c r="G147" s="25">
        <v>0</v>
      </c>
    </row>
    <row r="148" spans="1:7" ht="21.75" customHeight="1">
      <c r="A148" s="29"/>
      <c r="E148" s="28"/>
      <c r="G148" s="25">
        <v>0</v>
      </c>
    </row>
    <row r="149" spans="1:7" ht="21.75" customHeight="1">
      <c r="A149" s="29"/>
      <c r="E149" s="28"/>
      <c r="G149" s="25">
        <v>0</v>
      </c>
    </row>
    <row r="150" spans="1:7" ht="21.75" customHeight="1">
      <c r="A150" s="29"/>
      <c r="E150" s="28"/>
      <c r="G150" s="25">
        <v>0</v>
      </c>
    </row>
    <row r="151" spans="1:7" ht="21.75" customHeight="1">
      <c r="A151" s="29"/>
      <c r="E151" s="28"/>
      <c r="G151" s="25">
        <v>0</v>
      </c>
    </row>
    <row r="152" spans="1:7" ht="21.75" customHeight="1">
      <c r="A152" s="29"/>
      <c r="E152" s="28"/>
      <c r="G152" s="25">
        <v>0</v>
      </c>
    </row>
    <row r="153" spans="1:7" ht="21.75" customHeight="1">
      <c r="A153" s="29"/>
      <c r="E153" s="28"/>
      <c r="G153" s="25">
        <v>0</v>
      </c>
    </row>
    <row r="154" spans="1:7" ht="21.75" customHeight="1">
      <c r="A154" s="29"/>
      <c r="E154" s="28"/>
      <c r="G154" s="25">
        <v>0</v>
      </c>
    </row>
    <row r="155" spans="1:7" ht="21.75" customHeight="1">
      <c r="A155" s="29"/>
      <c r="E155" s="28"/>
      <c r="G155" s="25">
        <v>0</v>
      </c>
    </row>
    <row r="156" spans="1:7" ht="21.75" customHeight="1">
      <c r="A156" s="29"/>
      <c r="E156" s="28"/>
      <c r="G156" s="25">
        <v>0</v>
      </c>
    </row>
    <row r="157" spans="1:7" ht="21.75" customHeight="1">
      <c r="A157" s="29"/>
      <c r="E157" s="28"/>
      <c r="G157" s="25">
        <v>0</v>
      </c>
    </row>
    <row r="158" spans="1:7" ht="21.75" customHeight="1">
      <c r="A158" s="29"/>
      <c r="E158" s="28"/>
      <c r="G158" s="25">
        <v>0</v>
      </c>
    </row>
    <row r="159" spans="1:7" ht="21.75" customHeight="1">
      <c r="A159" s="29"/>
      <c r="E159" s="28"/>
      <c r="G159" s="25">
        <v>0</v>
      </c>
    </row>
    <row r="160" spans="1:7" ht="21.75" customHeight="1">
      <c r="A160" s="29"/>
      <c r="E160" s="28"/>
      <c r="G160" s="25">
        <v>0</v>
      </c>
    </row>
    <row r="161" spans="1:7" ht="21.75" customHeight="1">
      <c r="A161" s="29"/>
      <c r="E161" s="28"/>
      <c r="G161" s="25">
        <v>0</v>
      </c>
    </row>
    <row r="162" spans="1:7" ht="21.75" customHeight="1">
      <c r="A162" s="29"/>
      <c r="E162" s="28"/>
      <c r="G162" s="25">
        <v>0</v>
      </c>
    </row>
    <row r="163" spans="1:7" ht="21.75" customHeight="1">
      <c r="A163" s="29"/>
      <c r="E163" s="28"/>
      <c r="G163" s="25">
        <v>0</v>
      </c>
    </row>
    <row r="164" spans="1:7" ht="21.75" customHeight="1">
      <c r="A164" s="29"/>
      <c r="E164" s="28"/>
      <c r="G164" s="25">
        <v>0</v>
      </c>
    </row>
    <row r="165" spans="1:7" ht="21.75" customHeight="1">
      <c r="A165" s="29"/>
      <c r="E165" s="28"/>
      <c r="G165" s="25">
        <v>0</v>
      </c>
    </row>
    <row r="166" spans="1:7" ht="21.75" customHeight="1">
      <c r="A166" s="29"/>
      <c r="E166" s="28"/>
      <c r="G166" s="25">
        <v>0</v>
      </c>
    </row>
    <row r="167" spans="1:7" ht="21.75" customHeight="1">
      <c r="A167" s="29"/>
      <c r="E167" s="28"/>
      <c r="G167" s="25">
        <v>0</v>
      </c>
    </row>
    <row r="168" spans="1:7" ht="21.75" customHeight="1">
      <c r="A168" s="29"/>
      <c r="E168" s="28"/>
      <c r="G168" s="25">
        <v>0</v>
      </c>
    </row>
    <row r="169" spans="1:7" ht="21.75" customHeight="1">
      <c r="A169" s="29"/>
      <c r="E169" s="28"/>
      <c r="G169" s="25">
        <v>0</v>
      </c>
    </row>
    <row r="170" spans="1:7" ht="21.75" customHeight="1">
      <c r="A170" s="29"/>
      <c r="E170" s="28"/>
      <c r="G170" s="25">
        <v>0</v>
      </c>
    </row>
    <row r="171" spans="1:7" ht="21.75" customHeight="1">
      <c r="A171" s="29"/>
      <c r="E171" s="28"/>
      <c r="G171" s="25">
        <v>0</v>
      </c>
    </row>
    <row r="172" spans="1:7" ht="21.75" customHeight="1">
      <c r="A172" s="29"/>
      <c r="E172" s="28"/>
      <c r="G172" s="25">
        <v>0</v>
      </c>
    </row>
    <row r="173" spans="1:7" ht="21.75" customHeight="1">
      <c r="A173" s="29"/>
      <c r="E173" s="28"/>
      <c r="G173" s="25">
        <v>0</v>
      </c>
    </row>
    <row r="174" spans="1:7" ht="21.75" customHeight="1">
      <c r="A174" s="29"/>
      <c r="E174" s="28"/>
      <c r="G174" s="25">
        <v>0</v>
      </c>
    </row>
    <row r="175" spans="1:7" ht="21.75" customHeight="1">
      <c r="A175" s="29"/>
      <c r="E175" s="28"/>
      <c r="G175" s="25">
        <v>0</v>
      </c>
    </row>
    <row r="176" spans="1:7" ht="21.75" customHeight="1">
      <c r="A176" s="29"/>
      <c r="E176" s="28"/>
      <c r="G176" s="25">
        <v>0</v>
      </c>
    </row>
    <row r="177" spans="1:7" ht="21.75" customHeight="1">
      <c r="A177" s="29"/>
      <c r="E177" s="28"/>
      <c r="G177" s="25">
        <v>0</v>
      </c>
    </row>
    <row r="178" spans="1:7" ht="21.75" customHeight="1">
      <c r="A178" s="29"/>
      <c r="E178" s="28"/>
      <c r="G178" s="25">
        <v>0</v>
      </c>
    </row>
    <row r="179" spans="1:7" ht="21.75" customHeight="1">
      <c r="A179" s="29"/>
      <c r="E179" s="28"/>
      <c r="G179" s="25">
        <v>0</v>
      </c>
    </row>
    <row r="180" spans="1:7" ht="21.75" customHeight="1">
      <c r="A180" s="29"/>
      <c r="E180" s="28"/>
      <c r="G180" s="25">
        <v>0</v>
      </c>
    </row>
    <row r="181" spans="1:7" ht="21.75" customHeight="1">
      <c r="A181" s="29"/>
      <c r="E181" s="28"/>
      <c r="G181" s="25">
        <v>0</v>
      </c>
    </row>
    <row r="182" spans="1:7" ht="21.75" customHeight="1">
      <c r="A182" s="29"/>
      <c r="E182" s="28"/>
      <c r="G182" s="25">
        <v>0</v>
      </c>
    </row>
    <row r="183" spans="1:7" ht="21.75" customHeight="1">
      <c r="A183" s="29"/>
      <c r="E183" s="28"/>
      <c r="G183" s="25">
        <v>0</v>
      </c>
    </row>
    <row r="184" spans="1:7" ht="21.75" customHeight="1">
      <c r="A184" s="29"/>
      <c r="E184" s="28"/>
      <c r="G184" s="25">
        <v>0</v>
      </c>
    </row>
    <row r="185" spans="1:7" ht="21.75" customHeight="1">
      <c r="A185" s="29"/>
      <c r="E185" s="28"/>
      <c r="G185" s="25">
        <v>0</v>
      </c>
    </row>
    <row r="186" spans="1:7" ht="21.75" customHeight="1">
      <c r="A186" s="29"/>
      <c r="E186" s="28"/>
      <c r="G186" s="25">
        <v>0</v>
      </c>
    </row>
    <row r="187" spans="1:7" ht="21.75" customHeight="1">
      <c r="A187" s="29"/>
      <c r="E187" s="28"/>
      <c r="G187" s="25">
        <v>0</v>
      </c>
    </row>
    <row r="188" spans="1:7" ht="21.75" customHeight="1">
      <c r="A188" s="29"/>
      <c r="E188" s="28"/>
      <c r="G188" s="25">
        <v>0</v>
      </c>
    </row>
    <row r="189" spans="1:7" ht="21.75" customHeight="1">
      <c r="A189" s="29"/>
      <c r="E189" s="28"/>
      <c r="G189" s="25">
        <v>0</v>
      </c>
    </row>
    <row r="190" spans="1:7" ht="21.75" customHeight="1">
      <c r="A190" s="29"/>
      <c r="E190" s="28"/>
      <c r="G190" s="25">
        <v>0</v>
      </c>
    </row>
    <row r="191" spans="1:7" ht="21.75" customHeight="1">
      <c r="A191" s="29"/>
      <c r="E191" s="28"/>
      <c r="G191" s="25">
        <v>0</v>
      </c>
    </row>
    <row r="192" spans="1:7" ht="21.75" customHeight="1">
      <c r="A192" s="29"/>
      <c r="E192" s="28"/>
      <c r="G192" s="25">
        <v>0</v>
      </c>
    </row>
    <row r="193" spans="1:7" ht="21.75" customHeight="1">
      <c r="A193" s="29"/>
      <c r="E193" s="28"/>
      <c r="G193" s="25">
        <v>0</v>
      </c>
    </row>
    <row r="194" spans="1:7" ht="21.75" customHeight="1">
      <c r="A194" s="29"/>
      <c r="E194" s="28"/>
      <c r="G194" s="25">
        <v>0</v>
      </c>
    </row>
    <row r="195" spans="1:7" ht="21.75" customHeight="1">
      <c r="A195" s="29"/>
      <c r="E195" s="28"/>
      <c r="G195" s="25">
        <v>0</v>
      </c>
    </row>
    <row r="196" spans="1:7" ht="21.75" customHeight="1">
      <c r="A196" s="29"/>
      <c r="E196" s="28"/>
      <c r="G196" s="25">
        <v>0</v>
      </c>
    </row>
    <row r="197" spans="1:7" ht="21.75" customHeight="1">
      <c r="A197" s="29"/>
      <c r="E197" s="28"/>
      <c r="G197" s="25">
        <v>0</v>
      </c>
    </row>
    <row r="198" spans="1:7" ht="21.75" customHeight="1">
      <c r="A198" s="29"/>
      <c r="E198" s="28"/>
      <c r="G198" s="25">
        <v>0</v>
      </c>
    </row>
    <row r="199" spans="1:7" ht="21.75" customHeight="1">
      <c r="A199" s="29"/>
      <c r="E199" s="28"/>
      <c r="G199" s="25">
        <v>0</v>
      </c>
    </row>
    <row r="200" spans="1:7" ht="21.75" customHeight="1">
      <c r="A200" s="29"/>
      <c r="E200" s="28"/>
      <c r="G200" s="25">
        <v>0</v>
      </c>
    </row>
    <row r="201" spans="1:7" ht="21.75" customHeight="1">
      <c r="A201" s="29"/>
      <c r="E201" s="28"/>
      <c r="G201" s="25">
        <v>0</v>
      </c>
    </row>
    <row r="202" spans="1:7" ht="21.75" customHeight="1">
      <c r="A202" s="29"/>
      <c r="E202" s="28"/>
      <c r="G202" s="25">
        <v>0</v>
      </c>
    </row>
    <row r="203" spans="1:7" ht="21.75" customHeight="1">
      <c r="A203" s="29"/>
      <c r="E203" s="28"/>
      <c r="G203" s="25">
        <v>0</v>
      </c>
    </row>
    <row r="204" spans="1:7" ht="21.75" customHeight="1">
      <c r="A204" s="29"/>
      <c r="E204" s="28"/>
      <c r="G204" s="25">
        <v>0</v>
      </c>
    </row>
    <row r="205" spans="1:7" ht="21.75" customHeight="1">
      <c r="A205" s="29"/>
      <c r="E205" s="28"/>
      <c r="G205" s="25">
        <v>0</v>
      </c>
    </row>
    <row r="206" spans="1:7" ht="21.75" customHeight="1">
      <c r="A206" s="29"/>
      <c r="E206" s="28"/>
      <c r="G206" s="25">
        <v>0</v>
      </c>
    </row>
    <row r="207" spans="1:7" ht="21.75" customHeight="1">
      <c r="A207" s="29"/>
      <c r="E207" s="28"/>
      <c r="G207" s="25">
        <v>0</v>
      </c>
    </row>
    <row r="208" spans="1:7" ht="21.75" customHeight="1">
      <c r="A208" s="29"/>
      <c r="E208" s="28"/>
      <c r="G208" s="25">
        <v>0</v>
      </c>
    </row>
    <row r="209" spans="1:7" ht="21.75" customHeight="1">
      <c r="A209" s="29"/>
      <c r="E209" s="28"/>
      <c r="G209" s="25">
        <v>0</v>
      </c>
    </row>
    <row r="210" spans="1:7" ht="21.75" customHeight="1">
      <c r="A210" s="29"/>
      <c r="E210" s="28"/>
      <c r="G210" s="25">
        <v>0</v>
      </c>
    </row>
    <row r="211" spans="1:7" ht="21.75" customHeight="1">
      <c r="A211" s="29"/>
      <c r="E211" s="28"/>
      <c r="G211" s="25">
        <v>0</v>
      </c>
    </row>
    <row r="212" spans="1:7" ht="21.75" customHeight="1">
      <c r="A212" s="29"/>
      <c r="E212" s="28"/>
      <c r="G212" s="25">
        <v>0</v>
      </c>
    </row>
    <row r="213" spans="1:7" ht="21.75" customHeight="1">
      <c r="A213" s="29"/>
      <c r="E213" s="28"/>
      <c r="G213" s="25">
        <v>0</v>
      </c>
    </row>
    <row r="214" spans="1:7" ht="21.75" customHeight="1">
      <c r="A214" s="29"/>
      <c r="E214" s="28"/>
      <c r="G214" s="25">
        <v>0</v>
      </c>
    </row>
    <row r="215" spans="1:7" ht="21.75" customHeight="1">
      <c r="A215" s="29"/>
      <c r="E215" s="28"/>
      <c r="G215" s="25">
        <v>0</v>
      </c>
    </row>
    <row r="216" spans="1:7" ht="21.75" customHeight="1">
      <c r="A216" s="29"/>
      <c r="E216" s="28"/>
      <c r="G216" s="25">
        <v>0</v>
      </c>
    </row>
    <row r="217" spans="1:7" ht="21.75" customHeight="1">
      <c r="A217" s="29"/>
      <c r="E217" s="28"/>
      <c r="G217" s="25">
        <v>0</v>
      </c>
    </row>
    <row r="218" spans="1:7" ht="21.75" customHeight="1">
      <c r="A218" s="29"/>
      <c r="E218" s="28"/>
      <c r="G218" s="25">
        <v>0</v>
      </c>
    </row>
    <row r="219" spans="1:7" ht="21.75" customHeight="1">
      <c r="A219" s="29"/>
      <c r="E219" s="28"/>
      <c r="G219" s="25">
        <v>0</v>
      </c>
    </row>
    <row r="220" spans="1:7" ht="21.75" customHeight="1">
      <c r="A220" s="29"/>
      <c r="E220" s="28"/>
      <c r="G220" s="25">
        <v>0</v>
      </c>
    </row>
    <row r="221" spans="1:7" ht="21.75" customHeight="1">
      <c r="A221" s="29"/>
      <c r="E221" s="28"/>
      <c r="G221" s="25">
        <v>0</v>
      </c>
    </row>
    <row r="222" spans="1:7" ht="21.75" customHeight="1">
      <c r="A222" s="29"/>
      <c r="E222" s="28"/>
      <c r="G222" s="25">
        <v>0</v>
      </c>
    </row>
    <row r="223" spans="1:7" ht="21.75" customHeight="1">
      <c r="A223" s="29"/>
      <c r="E223" s="28"/>
      <c r="G223" s="25">
        <v>0</v>
      </c>
    </row>
    <row r="224" spans="1:7" ht="21.75" customHeight="1">
      <c r="A224" s="29"/>
      <c r="E224" s="28"/>
      <c r="G224" s="25">
        <v>0</v>
      </c>
    </row>
    <row r="225" spans="1:7" ht="21.75" customHeight="1">
      <c r="A225" s="29"/>
      <c r="E225" s="28"/>
      <c r="G225" s="25">
        <v>0</v>
      </c>
    </row>
    <row r="226" spans="1:7" ht="21.75" customHeight="1">
      <c r="A226" s="29"/>
      <c r="E226" s="28"/>
      <c r="G226" s="25">
        <v>0</v>
      </c>
    </row>
    <row r="227" spans="1:7" ht="21.75" customHeight="1">
      <c r="A227" s="29"/>
      <c r="E227" s="28"/>
      <c r="G227" s="25">
        <v>0</v>
      </c>
    </row>
    <row r="228" spans="1:7" ht="21.75" customHeight="1">
      <c r="A228" s="29"/>
      <c r="E228" s="28"/>
      <c r="G228" s="25">
        <v>0</v>
      </c>
    </row>
    <row r="229" spans="1:7" ht="21.75" customHeight="1">
      <c r="A229" s="29"/>
      <c r="E229" s="28"/>
      <c r="G229" s="25">
        <v>0</v>
      </c>
    </row>
    <row r="230" spans="1:7" ht="21.75" customHeight="1">
      <c r="A230" s="29"/>
      <c r="E230" s="28"/>
      <c r="G230" s="25">
        <v>0</v>
      </c>
    </row>
    <row r="231" spans="1:7" ht="21.75" customHeight="1">
      <c r="A231" s="29"/>
      <c r="E231" s="28"/>
      <c r="G231" s="25">
        <v>0</v>
      </c>
    </row>
    <row r="232" spans="1:7" ht="21.75" customHeight="1">
      <c r="A232" s="29"/>
      <c r="E232" s="28"/>
      <c r="G232" s="25">
        <v>0</v>
      </c>
    </row>
    <row r="233" spans="1:7" ht="21.75" customHeight="1">
      <c r="A233" s="29"/>
      <c r="E233" s="28"/>
      <c r="G233" s="25">
        <v>0</v>
      </c>
    </row>
    <row r="234" spans="1:7" ht="21.75" customHeight="1">
      <c r="A234" s="29"/>
      <c r="E234" s="28"/>
      <c r="G234" s="25">
        <v>0</v>
      </c>
    </row>
    <row r="235" spans="1:7" ht="21.75" customHeight="1">
      <c r="A235" s="29"/>
      <c r="E235" s="28"/>
      <c r="G235" s="25">
        <v>0</v>
      </c>
    </row>
    <row r="236" spans="1:7" ht="21.75" customHeight="1">
      <c r="A236" s="29"/>
      <c r="E236" s="28"/>
      <c r="G236" s="25">
        <v>0</v>
      </c>
    </row>
    <row r="237" spans="1:7" ht="21.75" customHeight="1">
      <c r="A237" s="29"/>
      <c r="E237" s="28"/>
      <c r="G237" s="25">
        <v>0</v>
      </c>
    </row>
    <row r="238" spans="1:7" ht="21.75" customHeight="1">
      <c r="A238" s="29"/>
      <c r="E238" s="28"/>
      <c r="G238" s="25">
        <v>0</v>
      </c>
    </row>
    <row r="239" spans="1:7" ht="21.75" customHeight="1">
      <c r="A239" s="29"/>
      <c r="E239" s="28"/>
      <c r="G239" s="25">
        <v>0</v>
      </c>
    </row>
    <row r="240" spans="1:7" ht="21.75" customHeight="1">
      <c r="A240" s="29"/>
      <c r="E240" s="28"/>
      <c r="G240" s="25">
        <v>0</v>
      </c>
    </row>
    <row r="241" spans="1:7" ht="21.75" customHeight="1">
      <c r="A241" s="29"/>
      <c r="E241" s="28"/>
      <c r="G241" s="25">
        <v>0</v>
      </c>
    </row>
    <row r="242" spans="1:7" ht="21.75" customHeight="1">
      <c r="A242" s="29"/>
      <c r="E242" s="28"/>
      <c r="G242" s="25">
        <v>0</v>
      </c>
    </row>
    <row r="243" spans="1:7" ht="21.75" customHeight="1">
      <c r="A243" s="29"/>
      <c r="E243" s="28"/>
      <c r="G243" s="25">
        <v>0</v>
      </c>
    </row>
    <row r="244" spans="1:7" ht="21.75" customHeight="1">
      <c r="A244" s="29"/>
      <c r="E244" s="28"/>
      <c r="G244" s="25">
        <v>0</v>
      </c>
    </row>
    <row r="245" spans="1:7" ht="21.75" customHeight="1">
      <c r="A245" s="29"/>
      <c r="E245" s="28"/>
      <c r="G245" s="25">
        <v>0</v>
      </c>
    </row>
    <row r="246" spans="1:7" ht="21.75" customHeight="1">
      <c r="A246" s="29"/>
      <c r="E246" s="28"/>
      <c r="G246" s="25">
        <v>0</v>
      </c>
    </row>
    <row r="247" spans="1:7" ht="21.75" customHeight="1">
      <c r="A247" s="29"/>
      <c r="E247" s="28"/>
      <c r="G247" s="25">
        <v>0</v>
      </c>
    </row>
    <row r="248" spans="1:7" ht="21.75" customHeight="1">
      <c r="A248" s="29"/>
      <c r="E248" s="28"/>
      <c r="G248" s="25">
        <v>0</v>
      </c>
    </row>
    <row r="249" spans="1:7" ht="21.75" customHeight="1">
      <c r="A249" s="29"/>
      <c r="E249" s="28"/>
      <c r="G249" s="25">
        <v>0</v>
      </c>
    </row>
    <row r="250" spans="1:7" ht="21.75" customHeight="1">
      <c r="A250" s="29"/>
      <c r="E250" s="28"/>
      <c r="G250" s="25">
        <v>0</v>
      </c>
    </row>
    <row r="251" spans="1:7" ht="21.75" customHeight="1">
      <c r="A251" s="29"/>
      <c r="E251" s="28"/>
      <c r="G251" s="25">
        <v>0</v>
      </c>
    </row>
    <row r="252" spans="1:7" ht="21.75" customHeight="1">
      <c r="A252" s="29"/>
      <c r="E252" s="28"/>
      <c r="G252" s="25">
        <v>0</v>
      </c>
    </row>
    <row r="253" spans="1:7" ht="21.75" customHeight="1">
      <c r="A253" s="29"/>
      <c r="E253" s="28"/>
      <c r="G253" s="25">
        <v>0</v>
      </c>
    </row>
    <row r="254" spans="1:7" ht="21.75" customHeight="1">
      <c r="A254" s="29"/>
      <c r="E254" s="28"/>
      <c r="G254" s="25">
        <v>0</v>
      </c>
    </row>
    <row r="255" spans="1:7" ht="21.75" customHeight="1">
      <c r="A255" s="29"/>
      <c r="E255" s="28"/>
      <c r="G255" s="25">
        <v>0</v>
      </c>
    </row>
    <row r="256" spans="1:7" ht="21.75" customHeight="1">
      <c r="A256" s="29"/>
      <c r="E256" s="28"/>
      <c r="G256" s="25">
        <v>0</v>
      </c>
    </row>
    <row r="257" spans="1:7" ht="21.75" customHeight="1">
      <c r="A257" s="29"/>
      <c r="E257" s="28"/>
      <c r="G257" s="25">
        <v>0</v>
      </c>
    </row>
    <row r="258" spans="1:7" ht="21.75" customHeight="1">
      <c r="A258" s="29"/>
      <c r="E258" s="28"/>
      <c r="G258" s="25">
        <v>0</v>
      </c>
    </row>
    <row r="259" spans="1:7" ht="21.75" customHeight="1">
      <c r="A259" s="29"/>
      <c r="E259" s="28"/>
      <c r="G259" s="25">
        <v>0</v>
      </c>
    </row>
    <row r="260" spans="1:7" ht="21.75" customHeight="1">
      <c r="A260" s="29"/>
      <c r="E260" s="28"/>
      <c r="G260" s="25">
        <v>0</v>
      </c>
    </row>
    <row r="261" spans="1:7" ht="21.75" customHeight="1">
      <c r="A261" s="29"/>
      <c r="E261" s="28"/>
      <c r="G261" s="25">
        <v>0</v>
      </c>
    </row>
    <row r="262" spans="1:7" ht="21.75" customHeight="1">
      <c r="A262" s="29"/>
      <c r="E262" s="28"/>
      <c r="G262" s="25">
        <v>0</v>
      </c>
    </row>
    <row r="263" spans="1:7" ht="21.75" customHeight="1">
      <c r="A263" s="29"/>
      <c r="E263" s="28"/>
      <c r="G263" s="25">
        <v>0</v>
      </c>
    </row>
    <row r="264" spans="1:7" ht="21.75" customHeight="1">
      <c r="A264" s="29"/>
      <c r="E264" s="28"/>
      <c r="G264" s="25">
        <v>0</v>
      </c>
    </row>
    <row r="265" spans="1:7" ht="21.75" customHeight="1">
      <c r="A265" s="29"/>
      <c r="E265" s="28"/>
      <c r="G265" s="25">
        <v>0</v>
      </c>
    </row>
    <row r="266" spans="1:7" ht="21.75" customHeight="1">
      <c r="A266" s="29"/>
      <c r="E266" s="28"/>
      <c r="G266" s="25">
        <v>0</v>
      </c>
    </row>
    <row r="267" spans="1:7" ht="21.75" customHeight="1">
      <c r="A267" s="29"/>
      <c r="E267" s="28"/>
      <c r="G267" s="25">
        <v>0</v>
      </c>
    </row>
    <row r="268" spans="1:7" ht="21.75" customHeight="1">
      <c r="A268" s="29"/>
      <c r="E268" s="28"/>
      <c r="G268" s="25">
        <v>0</v>
      </c>
    </row>
    <row r="269" spans="1:7" ht="21.75" customHeight="1">
      <c r="A269" s="29"/>
      <c r="E269" s="28"/>
      <c r="G269" s="25">
        <v>0</v>
      </c>
    </row>
    <row r="270" spans="1:7" ht="21.75" customHeight="1">
      <c r="A270" s="29"/>
      <c r="E270" s="28"/>
      <c r="G270" s="25">
        <v>0</v>
      </c>
    </row>
    <row r="271" spans="1:7" ht="21.75" customHeight="1">
      <c r="A271" s="29"/>
      <c r="E271" s="28"/>
      <c r="G271" s="25">
        <v>0</v>
      </c>
    </row>
    <row r="272" spans="1:7" ht="21.75" customHeight="1">
      <c r="A272" s="29"/>
      <c r="E272" s="28"/>
      <c r="G272" s="25">
        <v>0</v>
      </c>
    </row>
    <row r="273" spans="1:7" ht="21.75" customHeight="1">
      <c r="A273" s="29"/>
      <c r="E273" s="28"/>
      <c r="G273" s="25">
        <v>0</v>
      </c>
    </row>
    <row r="274" spans="1:7" ht="21.75" customHeight="1">
      <c r="A274" s="29"/>
      <c r="E274" s="28"/>
      <c r="G274" s="25">
        <v>0</v>
      </c>
    </row>
    <row r="275" spans="1:7" ht="21.75" customHeight="1">
      <c r="A275" s="29"/>
      <c r="E275" s="28"/>
      <c r="G275" s="25">
        <v>0</v>
      </c>
    </row>
    <row r="276" spans="1:7" ht="21.75" customHeight="1">
      <c r="A276" s="29"/>
      <c r="E276" s="28"/>
      <c r="G276" s="25">
        <v>0</v>
      </c>
    </row>
    <row r="277" spans="1:7" ht="21.75" customHeight="1">
      <c r="A277" s="29"/>
      <c r="E277" s="28"/>
      <c r="G277" s="25">
        <v>0</v>
      </c>
    </row>
    <row r="278" spans="1:7" ht="21.75" customHeight="1">
      <c r="A278" s="29"/>
      <c r="E278" s="28"/>
      <c r="G278" s="25">
        <v>0</v>
      </c>
    </row>
    <row r="279" spans="1:7" ht="21.75" customHeight="1">
      <c r="A279" s="29"/>
      <c r="E279" s="28"/>
      <c r="G279" s="25">
        <v>0</v>
      </c>
    </row>
    <row r="280" spans="1:7" ht="21.75" customHeight="1">
      <c r="A280" s="29"/>
      <c r="E280" s="28"/>
      <c r="G280" s="25">
        <v>0</v>
      </c>
    </row>
    <row r="281" spans="1:7" ht="21.75" customHeight="1">
      <c r="A281" s="29"/>
      <c r="E281" s="28"/>
      <c r="G281" s="25">
        <v>0</v>
      </c>
    </row>
    <row r="282" spans="1:7" ht="21.75" customHeight="1">
      <c r="A282" s="29"/>
      <c r="E282" s="28"/>
      <c r="G282" s="25">
        <v>0</v>
      </c>
    </row>
    <row r="283" spans="1:7" ht="21.75" customHeight="1">
      <c r="A283" s="29"/>
      <c r="E283" s="28"/>
      <c r="G283" s="25">
        <v>0</v>
      </c>
    </row>
    <row r="284" spans="1:7" ht="21.75" customHeight="1">
      <c r="A284" s="29"/>
      <c r="E284" s="28"/>
      <c r="G284" s="25">
        <v>0</v>
      </c>
    </row>
    <row r="285" spans="1:7" ht="21.75" customHeight="1">
      <c r="A285" s="29"/>
      <c r="E285" s="28"/>
      <c r="G285" s="25">
        <v>0</v>
      </c>
    </row>
    <row r="286" spans="1:7" ht="21.75" customHeight="1">
      <c r="A286" s="29"/>
      <c r="E286" s="28"/>
      <c r="G286" s="25">
        <v>0</v>
      </c>
    </row>
    <row r="287" spans="1:7" ht="21.75" customHeight="1">
      <c r="A287" s="29"/>
      <c r="E287" s="28"/>
      <c r="G287" s="25">
        <v>0</v>
      </c>
    </row>
    <row r="288" spans="1:7" ht="21.75" customHeight="1">
      <c r="A288" s="29"/>
      <c r="E288" s="28"/>
      <c r="G288" s="25">
        <v>0</v>
      </c>
    </row>
    <row r="289" spans="1:7" ht="21.75" customHeight="1">
      <c r="A289" s="29"/>
      <c r="E289" s="28"/>
      <c r="G289" s="25">
        <v>0</v>
      </c>
    </row>
    <row r="290" spans="1:7" ht="21.75" customHeight="1">
      <c r="A290" s="29"/>
      <c r="E290" s="28"/>
      <c r="G290" s="25">
        <v>0</v>
      </c>
    </row>
    <row r="291" spans="1:7" ht="21.75" customHeight="1">
      <c r="A291" s="29"/>
      <c r="E291" s="28"/>
      <c r="G291" s="25">
        <v>0</v>
      </c>
    </row>
    <row r="292" spans="1:7" ht="21.75" customHeight="1">
      <c r="A292" s="29"/>
      <c r="E292" s="28"/>
      <c r="G292" s="25">
        <v>0</v>
      </c>
    </row>
    <row r="293" spans="1:7" ht="21.75" customHeight="1">
      <c r="A293" s="29"/>
      <c r="E293" s="28"/>
      <c r="G293" s="25">
        <v>0</v>
      </c>
    </row>
    <row r="294" spans="1:7" ht="21.75" customHeight="1">
      <c r="A294" s="29"/>
      <c r="E294" s="28"/>
      <c r="G294" s="25">
        <v>0</v>
      </c>
    </row>
    <row r="295" spans="1:7" ht="21.75" customHeight="1">
      <c r="A295" s="29"/>
      <c r="E295" s="28"/>
      <c r="G295" s="25">
        <v>0</v>
      </c>
    </row>
    <row r="296" spans="1:7" ht="21.75" customHeight="1">
      <c r="A296" s="29"/>
      <c r="E296" s="28"/>
      <c r="G296" s="25">
        <v>0</v>
      </c>
    </row>
    <row r="297" spans="1:7" ht="21.75" customHeight="1">
      <c r="A297" s="29"/>
      <c r="E297" s="28"/>
      <c r="G297" s="25">
        <v>0</v>
      </c>
    </row>
    <row r="298" spans="1:7" ht="21.75" customHeight="1">
      <c r="A298" s="29"/>
      <c r="E298" s="28"/>
      <c r="G298" s="25">
        <v>0</v>
      </c>
    </row>
    <row r="299" spans="1:7" ht="21.75" customHeight="1">
      <c r="A299" s="29"/>
      <c r="E299" s="28"/>
      <c r="G299" s="25">
        <v>0</v>
      </c>
    </row>
    <row r="300" spans="1:7" ht="21.75" customHeight="1">
      <c r="A300" s="29"/>
      <c r="E300" s="28"/>
      <c r="G300" s="25">
        <v>0</v>
      </c>
    </row>
    <row r="301" spans="1:7" ht="21.75" customHeight="1">
      <c r="A301" s="29"/>
      <c r="E301" s="28"/>
      <c r="G301" s="25">
        <v>0</v>
      </c>
    </row>
    <row r="302" spans="1:7" ht="21.75" customHeight="1">
      <c r="A302" s="29"/>
      <c r="E302" s="28"/>
      <c r="G302" s="25">
        <v>0</v>
      </c>
    </row>
    <row r="303" spans="1:7" ht="21.75" customHeight="1">
      <c r="A303" s="29"/>
      <c r="E303" s="28"/>
      <c r="G303" s="25">
        <v>0</v>
      </c>
    </row>
    <row r="304" spans="1:7" ht="21.75" customHeight="1">
      <c r="A304" s="29"/>
      <c r="E304" s="28"/>
      <c r="G304" s="25">
        <v>0</v>
      </c>
    </row>
    <row r="305" spans="1:7" ht="21.75" customHeight="1">
      <c r="A305" s="29"/>
      <c r="E305" s="28"/>
      <c r="G305" s="25">
        <v>0</v>
      </c>
    </row>
    <row r="306" spans="1:7" ht="21.75" customHeight="1">
      <c r="A306" s="29"/>
      <c r="E306" s="28"/>
      <c r="G306" s="25">
        <v>0</v>
      </c>
    </row>
    <row r="307" spans="1:7" ht="21.75" customHeight="1">
      <c r="A307" s="29"/>
      <c r="E307" s="28"/>
      <c r="G307" s="25">
        <v>0</v>
      </c>
    </row>
    <row r="308" spans="1:7" ht="21.75" customHeight="1">
      <c r="A308" s="29"/>
      <c r="E308" s="28"/>
      <c r="G308" s="25">
        <v>0</v>
      </c>
    </row>
    <row r="309" spans="1:7" ht="21.75" customHeight="1">
      <c r="A309" s="29"/>
      <c r="E309" s="28"/>
      <c r="G309" s="25">
        <v>0</v>
      </c>
    </row>
    <row r="310" spans="1:7" ht="21.75" customHeight="1">
      <c r="A310" s="29"/>
      <c r="E310" s="28"/>
      <c r="G310" s="25">
        <v>0</v>
      </c>
    </row>
    <row r="311" spans="1:7" ht="21.75" customHeight="1">
      <c r="A311" s="29"/>
      <c r="E311" s="28"/>
      <c r="G311" s="25">
        <v>0</v>
      </c>
    </row>
    <row r="312" spans="1:7" ht="21.75" customHeight="1">
      <c r="A312" s="29"/>
      <c r="E312" s="28"/>
      <c r="G312" s="25">
        <v>0</v>
      </c>
    </row>
    <row r="313" spans="1:7" ht="21.75" customHeight="1">
      <c r="A313" s="29"/>
      <c r="E313" s="28"/>
      <c r="G313" s="25">
        <v>0</v>
      </c>
    </row>
    <row r="314" spans="1:7" ht="21.75" customHeight="1">
      <c r="A314" s="29"/>
      <c r="E314" s="28"/>
      <c r="G314" s="25">
        <v>0</v>
      </c>
    </row>
    <row r="315" spans="1:7" ht="21.75" customHeight="1">
      <c r="A315" s="29"/>
      <c r="E315" s="28"/>
      <c r="G315" s="25">
        <v>0</v>
      </c>
    </row>
    <row r="316" spans="1:7" ht="21.75" customHeight="1">
      <c r="A316" s="29"/>
      <c r="E316" s="28"/>
      <c r="G316" s="25">
        <v>0</v>
      </c>
    </row>
    <row r="317" spans="1:7" ht="21.75" customHeight="1">
      <c r="A317" s="29"/>
      <c r="E317" s="28"/>
      <c r="G317" s="25">
        <v>0</v>
      </c>
    </row>
    <row r="318" spans="1:7" ht="21.75" customHeight="1">
      <c r="A318" s="29"/>
      <c r="E318" s="28"/>
      <c r="G318" s="25">
        <v>0</v>
      </c>
    </row>
    <row r="319" spans="1:7" ht="21.75" customHeight="1">
      <c r="A319" s="29"/>
      <c r="E319" s="28"/>
      <c r="G319" s="25">
        <v>0</v>
      </c>
    </row>
    <row r="320" spans="1:7" ht="21.75" customHeight="1">
      <c r="A320" s="29"/>
      <c r="E320" s="28"/>
      <c r="G320" s="25">
        <v>0</v>
      </c>
    </row>
    <row r="321" spans="1:7" ht="21.75" customHeight="1">
      <c r="A321" s="29"/>
      <c r="E321" s="28"/>
      <c r="G321" s="25">
        <v>0</v>
      </c>
    </row>
    <row r="322" spans="1:7" ht="21.75" customHeight="1">
      <c r="A322" s="29"/>
      <c r="E322" s="28"/>
      <c r="G322" s="25">
        <v>0</v>
      </c>
    </row>
    <row r="323" spans="1:7" ht="21.75" customHeight="1">
      <c r="A323" s="29"/>
      <c r="E323" s="28"/>
      <c r="G323" s="25">
        <v>0</v>
      </c>
    </row>
    <row r="324" spans="1:7" ht="21.75" customHeight="1">
      <c r="A324" s="29"/>
      <c r="E324" s="28"/>
      <c r="G324" s="25">
        <v>0</v>
      </c>
    </row>
    <row r="325" spans="1:7" ht="21.75" customHeight="1">
      <c r="A325" s="29"/>
      <c r="E325" s="28"/>
      <c r="G325" s="25">
        <v>0</v>
      </c>
    </row>
    <row r="326" spans="1:7" ht="21.75" customHeight="1">
      <c r="A326" s="29"/>
      <c r="E326" s="28"/>
      <c r="G326" s="25">
        <v>0</v>
      </c>
    </row>
    <row r="327" spans="1:7" ht="21.75" customHeight="1">
      <c r="A327" s="29"/>
      <c r="E327" s="28"/>
      <c r="G327" s="25">
        <v>0</v>
      </c>
    </row>
    <row r="328" spans="1:7" ht="21.75" customHeight="1">
      <c r="A328" s="29"/>
      <c r="E328" s="28"/>
      <c r="G328" s="25">
        <v>0</v>
      </c>
    </row>
    <row r="329" spans="1:7" ht="21.75" customHeight="1">
      <c r="A329" s="29"/>
      <c r="E329" s="28"/>
      <c r="G329" s="25">
        <v>0</v>
      </c>
    </row>
    <row r="330" spans="1:7" ht="21.75" customHeight="1">
      <c r="A330" s="29"/>
      <c r="E330" s="28"/>
      <c r="G330" s="25">
        <v>0</v>
      </c>
    </row>
    <row r="331" spans="1:7" ht="21.75" customHeight="1">
      <c r="A331" s="29"/>
      <c r="E331" s="28"/>
      <c r="G331" s="25">
        <v>0</v>
      </c>
    </row>
    <row r="332" spans="1:7" ht="21.75" customHeight="1">
      <c r="A332" s="29"/>
      <c r="E332" s="28"/>
      <c r="G332" s="25">
        <v>0</v>
      </c>
    </row>
    <row r="333" spans="1:7" ht="21.75" customHeight="1">
      <c r="A333" s="29"/>
      <c r="E333" s="28"/>
      <c r="G333" s="25">
        <v>0</v>
      </c>
    </row>
    <row r="334" spans="1:7" ht="21.75" customHeight="1">
      <c r="A334" s="29"/>
      <c r="E334" s="28"/>
      <c r="G334" s="25">
        <v>0</v>
      </c>
    </row>
    <row r="335" spans="1:7" ht="21.75" customHeight="1">
      <c r="A335" s="29"/>
      <c r="E335" s="28"/>
      <c r="G335" s="25">
        <v>0</v>
      </c>
    </row>
    <row r="336" spans="1:7" ht="21.75" customHeight="1">
      <c r="A336" s="29"/>
      <c r="E336" s="28"/>
      <c r="G336" s="25">
        <v>0</v>
      </c>
    </row>
    <row r="337" spans="1:7" ht="21.75" customHeight="1">
      <c r="A337" s="29"/>
      <c r="E337" s="28"/>
      <c r="G337" s="25">
        <v>0</v>
      </c>
    </row>
    <row r="338" spans="1:7" ht="21.75" customHeight="1">
      <c r="A338" s="29"/>
      <c r="E338" s="28"/>
      <c r="G338" s="25">
        <v>0</v>
      </c>
    </row>
    <row r="339" spans="1:7" ht="21.75" customHeight="1">
      <c r="A339" s="29"/>
      <c r="E339" s="28"/>
      <c r="G339" s="25">
        <v>0</v>
      </c>
    </row>
    <row r="340" spans="1:7" ht="21.75" customHeight="1">
      <c r="A340" s="29"/>
      <c r="E340" s="28"/>
      <c r="G340" s="25">
        <v>0</v>
      </c>
    </row>
    <row r="341" spans="1:7" ht="21.75" customHeight="1">
      <c r="A341" s="29"/>
      <c r="E341" s="28"/>
      <c r="G341" s="25">
        <v>0</v>
      </c>
    </row>
    <row r="342" spans="1:7" ht="21.75" customHeight="1">
      <c r="A342" s="29"/>
      <c r="E342" s="28"/>
      <c r="G342" s="25">
        <v>0</v>
      </c>
    </row>
    <row r="343" spans="1:7" ht="21.75" customHeight="1">
      <c r="A343" s="29"/>
      <c r="E343" s="28"/>
      <c r="G343" s="25">
        <v>0</v>
      </c>
    </row>
    <row r="344" spans="1:7" ht="21.75" customHeight="1">
      <c r="A344" s="29"/>
      <c r="E344" s="28"/>
      <c r="G344" s="25">
        <v>0</v>
      </c>
    </row>
    <row r="345" spans="1:7" ht="21.75" customHeight="1">
      <c r="A345" s="29"/>
      <c r="E345" s="28"/>
      <c r="G345" s="25">
        <v>0</v>
      </c>
    </row>
    <row r="346" spans="1:7" ht="21.75" customHeight="1">
      <c r="A346" s="29"/>
      <c r="E346" s="28"/>
      <c r="G346" s="25">
        <v>0</v>
      </c>
    </row>
    <row r="347" spans="1:7" ht="21.75" customHeight="1">
      <c r="A347" s="29"/>
      <c r="E347" s="28"/>
      <c r="G347" s="25">
        <v>0</v>
      </c>
    </row>
    <row r="348" spans="1:7" ht="21.75" customHeight="1">
      <c r="A348" s="29"/>
      <c r="E348" s="28"/>
      <c r="G348" s="25">
        <v>0</v>
      </c>
    </row>
    <row r="349" spans="1:7" ht="21.75" customHeight="1">
      <c r="A349" s="29"/>
      <c r="E349" s="28"/>
      <c r="G349" s="25">
        <v>0</v>
      </c>
    </row>
    <row r="350" spans="1:7" ht="21.75" customHeight="1">
      <c r="A350" s="29"/>
      <c r="E350" s="28"/>
      <c r="G350" s="25">
        <v>0</v>
      </c>
    </row>
    <row r="351" spans="1:7" ht="21.75" customHeight="1">
      <c r="A351" s="29"/>
      <c r="E351" s="28"/>
      <c r="G351" s="25">
        <v>0</v>
      </c>
    </row>
    <row r="352" spans="1:7" ht="21.75" customHeight="1">
      <c r="A352" s="29"/>
      <c r="E352" s="28"/>
      <c r="G352" s="25">
        <v>0</v>
      </c>
    </row>
    <row r="353" spans="1:7" ht="21.75" customHeight="1">
      <c r="A353" s="29"/>
      <c r="E353" s="28"/>
      <c r="G353" s="25">
        <v>0</v>
      </c>
    </row>
    <row r="354" spans="1:7" ht="21.75" customHeight="1">
      <c r="A354" s="29"/>
      <c r="E354" s="28"/>
      <c r="G354" s="25">
        <v>0</v>
      </c>
    </row>
    <row r="355" spans="1:7" ht="21.75" customHeight="1">
      <c r="A355" s="29"/>
      <c r="E355" s="28"/>
      <c r="G355" s="25">
        <v>0</v>
      </c>
    </row>
    <row r="356" spans="1:7" ht="21.75" customHeight="1">
      <c r="A356" s="29"/>
      <c r="E356" s="28"/>
      <c r="G356" s="25">
        <v>0</v>
      </c>
    </row>
    <row r="357" spans="1:7" ht="21.75" customHeight="1">
      <c r="A357" s="29"/>
      <c r="E357" s="28"/>
      <c r="G357" s="25">
        <v>0</v>
      </c>
    </row>
    <row r="358" spans="1:7" ht="21.75" customHeight="1">
      <c r="A358" s="29"/>
      <c r="E358" s="28"/>
      <c r="G358" s="25">
        <v>0</v>
      </c>
    </row>
    <row r="359" spans="1:7" ht="21.75" customHeight="1">
      <c r="A359" s="29"/>
      <c r="E359" s="28"/>
      <c r="G359" s="25">
        <v>0</v>
      </c>
    </row>
    <row r="360" spans="1:7" ht="21.75" customHeight="1">
      <c r="A360" s="29"/>
      <c r="E360" s="28"/>
      <c r="G360" s="25">
        <v>0</v>
      </c>
    </row>
    <row r="361" spans="1:7" ht="21.75" customHeight="1">
      <c r="A361" s="29"/>
      <c r="E361" s="28"/>
      <c r="G361" s="25">
        <v>0</v>
      </c>
    </row>
    <row r="362" spans="1:7" ht="21.75" customHeight="1">
      <c r="A362" s="29"/>
      <c r="E362" s="28"/>
      <c r="G362" s="25">
        <v>0</v>
      </c>
    </row>
    <row r="363" spans="1:7" ht="21.75" customHeight="1">
      <c r="A363" s="29"/>
      <c r="E363" s="28"/>
      <c r="G363" s="25">
        <v>0</v>
      </c>
    </row>
    <row r="364" spans="1:7" ht="21.75" customHeight="1">
      <c r="A364" s="29"/>
      <c r="E364" s="28"/>
      <c r="G364" s="25">
        <v>0</v>
      </c>
    </row>
    <row r="365" spans="1:7" ht="21.75" customHeight="1">
      <c r="A365" s="29"/>
      <c r="E365" s="28"/>
      <c r="G365" s="25">
        <v>0</v>
      </c>
    </row>
    <row r="366" spans="1:7" ht="21.75" customHeight="1">
      <c r="A366" s="29"/>
      <c r="E366" s="28"/>
      <c r="G366" s="25">
        <v>0</v>
      </c>
    </row>
    <row r="367" spans="1:7" ht="21.75" customHeight="1">
      <c r="A367" s="29"/>
      <c r="E367" s="28"/>
      <c r="G367" s="25">
        <v>0</v>
      </c>
    </row>
    <row r="368" spans="1:7" ht="21.75" customHeight="1">
      <c r="A368" s="29"/>
      <c r="E368" s="28"/>
      <c r="G368" s="25">
        <v>0</v>
      </c>
    </row>
    <row r="369" spans="1:7" ht="21.75" customHeight="1">
      <c r="A369" s="29"/>
      <c r="E369" s="28"/>
      <c r="G369" s="25">
        <v>0</v>
      </c>
    </row>
    <row r="370" spans="1:7" ht="21.75" customHeight="1">
      <c r="A370" s="29"/>
      <c r="E370" s="28"/>
      <c r="G370" s="25">
        <v>0</v>
      </c>
    </row>
    <row r="371" spans="1:7" ht="21.75" customHeight="1">
      <c r="A371" s="29"/>
      <c r="E371" s="28"/>
      <c r="G371" s="25">
        <v>0</v>
      </c>
    </row>
    <row r="372" spans="1:7" ht="21.75" customHeight="1">
      <c r="A372" s="29"/>
      <c r="E372" s="28"/>
      <c r="G372" s="25">
        <v>0</v>
      </c>
    </row>
    <row r="373" spans="1:7" ht="21.75" customHeight="1">
      <c r="A373" s="29"/>
      <c r="E373" s="28"/>
      <c r="G373" s="25">
        <v>0</v>
      </c>
    </row>
    <row r="374" spans="1:7" ht="21.75" customHeight="1">
      <c r="A374" s="29"/>
      <c r="E374" s="28"/>
      <c r="G374" s="25">
        <v>0</v>
      </c>
    </row>
    <row r="375" spans="1:7" ht="21.75" customHeight="1">
      <c r="A375" s="29"/>
      <c r="E375" s="28"/>
      <c r="G375" s="25">
        <v>0</v>
      </c>
    </row>
    <row r="376" spans="1:7" ht="21.75" customHeight="1">
      <c r="A376" s="29"/>
      <c r="E376" s="28"/>
      <c r="G376" s="25">
        <v>0</v>
      </c>
    </row>
    <row r="377" spans="1:7" ht="21.75" customHeight="1">
      <c r="A377" s="29"/>
      <c r="E377" s="28"/>
      <c r="G377" s="25">
        <v>0</v>
      </c>
    </row>
    <row r="378" spans="1:7" ht="21.75" customHeight="1">
      <c r="A378" s="29"/>
      <c r="E378" s="28"/>
      <c r="G378" s="25">
        <v>0</v>
      </c>
    </row>
    <row r="379" spans="1:7" ht="21.75" customHeight="1">
      <c r="A379" s="29"/>
      <c r="E379" s="28"/>
      <c r="G379" s="25">
        <v>0</v>
      </c>
    </row>
    <row r="380" spans="1:7" ht="21.75" customHeight="1">
      <c r="A380" s="29"/>
      <c r="E380" s="28"/>
      <c r="G380" s="25">
        <v>0</v>
      </c>
    </row>
    <row r="381" spans="1:7" ht="21.75" customHeight="1">
      <c r="A381" s="29"/>
      <c r="E381" s="28"/>
      <c r="G381" s="25">
        <v>0</v>
      </c>
    </row>
    <row r="382" spans="1:7" ht="21.75" customHeight="1">
      <c r="A382" s="29"/>
      <c r="E382" s="28"/>
      <c r="G382" s="25">
        <v>0</v>
      </c>
    </row>
    <row r="383" spans="1:7" ht="21.75" customHeight="1">
      <c r="A383" s="29"/>
      <c r="E383" s="28"/>
      <c r="G383" s="25">
        <v>0</v>
      </c>
    </row>
    <row r="384" spans="1:7" ht="21.75" customHeight="1">
      <c r="A384" s="29"/>
      <c r="E384" s="28"/>
      <c r="G384" s="25">
        <v>0</v>
      </c>
    </row>
    <row r="385" spans="1:7" ht="21.75" customHeight="1">
      <c r="A385" s="29"/>
      <c r="E385" s="28"/>
      <c r="G385" s="25">
        <v>0</v>
      </c>
    </row>
    <row r="386" spans="1:7" ht="21.75" customHeight="1">
      <c r="A386" s="29"/>
      <c r="E386" s="28"/>
      <c r="G386" s="25">
        <v>0</v>
      </c>
    </row>
    <row r="387" spans="1:7" ht="21.75" customHeight="1">
      <c r="A387" s="29"/>
      <c r="E387" s="28"/>
      <c r="G387" s="25">
        <v>0</v>
      </c>
    </row>
    <row r="388" spans="1:7" ht="21.75" customHeight="1">
      <c r="A388" s="29"/>
      <c r="E388" s="28"/>
      <c r="G388" s="25">
        <v>0</v>
      </c>
    </row>
    <row r="389" spans="1:7" ht="21.75" customHeight="1">
      <c r="A389" s="29"/>
      <c r="E389" s="28"/>
      <c r="G389" s="25">
        <v>0</v>
      </c>
    </row>
    <row r="390" spans="1:7" ht="21.75" customHeight="1">
      <c r="A390" s="29"/>
      <c r="E390" s="28"/>
      <c r="G390" s="25">
        <v>0</v>
      </c>
    </row>
    <row r="391" spans="1:7" ht="21.75" customHeight="1">
      <c r="A391" s="29"/>
      <c r="E391" s="28"/>
      <c r="G391" s="25">
        <v>0</v>
      </c>
    </row>
    <row r="392" spans="1:7" ht="21.75" customHeight="1">
      <c r="A392" s="29"/>
      <c r="E392" s="28"/>
      <c r="G392" s="25">
        <v>0</v>
      </c>
    </row>
    <row r="393" spans="1:7" ht="21.75" customHeight="1">
      <c r="A393" s="29"/>
      <c r="E393" s="28"/>
      <c r="G393" s="25">
        <v>0</v>
      </c>
    </row>
    <row r="394" spans="1:7" ht="21.75" customHeight="1">
      <c r="A394" s="29"/>
      <c r="E394" s="28"/>
      <c r="G394" s="25">
        <v>0</v>
      </c>
    </row>
    <row r="395" spans="1:7" ht="21.75" customHeight="1">
      <c r="A395" s="29"/>
      <c r="E395" s="28"/>
      <c r="G395" s="25">
        <v>0</v>
      </c>
    </row>
    <row r="396" spans="1:7" ht="21.75" customHeight="1">
      <c r="A396" s="29"/>
      <c r="E396" s="28"/>
      <c r="G396" s="25">
        <v>0</v>
      </c>
    </row>
    <row r="397" spans="1:7" ht="21.75" customHeight="1">
      <c r="A397" s="29"/>
      <c r="E397" s="28"/>
      <c r="G397" s="25">
        <v>0</v>
      </c>
    </row>
    <row r="398" spans="1:7" ht="21.75" customHeight="1">
      <c r="A398" s="29"/>
      <c r="E398" s="28"/>
      <c r="G398" s="25">
        <v>0</v>
      </c>
    </row>
    <row r="399" spans="1:7" ht="21.75" customHeight="1">
      <c r="A399" s="29"/>
      <c r="E399" s="28"/>
      <c r="G399" s="25">
        <v>0</v>
      </c>
    </row>
    <row r="400" spans="1:7" ht="21.75" customHeight="1">
      <c r="A400" s="29"/>
      <c r="E400" s="28"/>
      <c r="G400" s="25">
        <v>0</v>
      </c>
    </row>
    <row r="401" spans="1:7" ht="21.75" customHeight="1">
      <c r="A401" s="29"/>
      <c r="E401" s="28"/>
      <c r="G401" s="25">
        <v>0</v>
      </c>
    </row>
    <row r="402" spans="1:7" ht="21.75" customHeight="1">
      <c r="A402" s="29"/>
      <c r="E402" s="28"/>
      <c r="G402" s="25">
        <v>0</v>
      </c>
    </row>
    <row r="403" spans="1:7" ht="21.75" customHeight="1">
      <c r="A403" s="29"/>
      <c r="E403" s="28"/>
      <c r="G403" s="25">
        <v>0</v>
      </c>
    </row>
    <row r="404" spans="1:7" ht="21.75" customHeight="1">
      <c r="A404" s="29"/>
      <c r="E404" s="28"/>
      <c r="G404" s="25">
        <v>0</v>
      </c>
    </row>
    <row r="405" spans="1:7" ht="21.75" customHeight="1">
      <c r="A405" s="29"/>
      <c r="E405" s="28"/>
      <c r="G405" s="25">
        <v>0</v>
      </c>
    </row>
    <row r="406" spans="1:7" ht="21.75" customHeight="1">
      <c r="A406" s="29"/>
      <c r="E406" s="28"/>
      <c r="G406" s="25">
        <v>0</v>
      </c>
    </row>
    <row r="407" spans="1:7" ht="21.75" customHeight="1">
      <c r="A407" s="29"/>
      <c r="E407" s="28"/>
      <c r="G407" s="25">
        <v>0</v>
      </c>
    </row>
    <row r="408" spans="1:7" ht="21.75" customHeight="1">
      <c r="A408" s="29"/>
      <c r="E408" s="28"/>
      <c r="G408" s="25">
        <v>0</v>
      </c>
    </row>
    <row r="409" spans="1:7" ht="21.75" customHeight="1">
      <c r="A409" s="29"/>
      <c r="E409" s="28"/>
      <c r="G409" s="25">
        <v>0</v>
      </c>
    </row>
    <row r="410" spans="1:7" ht="21.75" customHeight="1">
      <c r="A410" s="29"/>
      <c r="E410" s="28"/>
      <c r="G410" s="25">
        <v>0</v>
      </c>
    </row>
    <row r="411" spans="1:7" ht="21.75" customHeight="1">
      <c r="A411" s="29"/>
      <c r="E411" s="28"/>
      <c r="G411" s="25">
        <v>0</v>
      </c>
    </row>
    <row r="412" spans="1:7" ht="21.75" customHeight="1">
      <c r="A412" s="29"/>
      <c r="E412" s="28"/>
      <c r="G412" s="25">
        <v>0</v>
      </c>
    </row>
    <row r="413" spans="1:7" ht="21.75" customHeight="1">
      <c r="A413" s="29"/>
      <c r="E413" s="28"/>
      <c r="G413" s="25">
        <v>0</v>
      </c>
    </row>
    <row r="414" spans="1:7" ht="21.75" customHeight="1">
      <c r="A414" s="29"/>
      <c r="E414" s="28"/>
      <c r="G414" s="25">
        <v>0</v>
      </c>
    </row>
    <row r="415" spans="1:7" ht="21.75" customHeight="1">
      <c r="A415" s="29"/>
      <c r="E415" s="28"/>
      <c r="G415" s="25">
        <v>0</v>
      </c>
    </row>
    <row r="416" spans="1:7" ht="21.75" customHeight="1">
      <c r="A416" s="29"/>
      <c r="E416" s="28"/>
      <c r="G416" s="25">
        <v>0</v>
      </c>
    </row>
    <row r="417" spans="1:7" ht="21.75" customHeight="1">
      <c r="A417" s="29"/>
      <c r="E417" s="28"/>
      <c r="G417" s="25">
        <v>0</v>
      </c>
    </row>
    <row r="418" spans="1:7" ht="21.75" customHeight="1">
      <c r="A418" s="29"/>
      <c r="E418" s="28"/>
      <c r="G418" s="25">
        <v>0</v>
      </c>
    </row>
    <row r="419" spans="1:7" ht="21.75" customHeight="1">
      <c r="A419" s="29"/>
      <c r="E419" s="28"/>
      <c r="G419" s="25">
        <v>0</v>
      </c>
    </row>
    <row r="420" spans="1:7" ht="21.75" customHeight="1">
      <c r="A420" s="29"/>
      <c r="E420" s="28"/>
      <c r="G420" s="25">
        <v>0</v>
      </c>
    </row>
    <row r="421" spans="1:7" ht="21.75" customHeight="1">
      <c r="A421" s="29"/>
      <c r="E421" s="28"/>
      <c r="G421" s="25">
        <v>0</v>
      </c>
    </row>
    <row r="422" spans="1:7" ht="21.75" customHeight="1">
      <c r="A422" s="29"/>
      <c r="E422" s="28"/>
      <c r="G422" s="25">
        <v>0</v>
      </c>
    </row>
    <row r="423" spans="1:7" ht="21.75" customHeight="1">
      <c r="A423" s="29"/>
      <c r="E423" s="28"/>
      <c r="G423" s="25">
        <v>0</v>
      </c>
    </row>
    <row r="424" spans="1:7" ht="21.75" customHeight="1">
      <c r="A424" s="29"/>
      <c r="E424" s="28"/>
      <c r="G424" s="25">
        <v>0</v>
      </c>
    </row>
    <row r="425" spans="1:7" ht="21.75" customHeight="1">
      <c r="A425" s="29"/>
      <c r="E425" s="28"/>
      <c r="G425" s="25">
        <v>0</v>
      </c>
    </row>
    <row r="426" spans="1:7" ht="21.75" customHeight="1">
      <c r="A426" s="29"/>
      <c r="E426" s="28"/>
      <c r="G426" s="25">
        <v>0</v>
      </c>
    </row>
    <row r="427" spans="1:7" ht="21.75" customHeight="1">
      <c r="A427" s="29"/>
      <c r="E427" s="28"/>
      <c r="G427" s="25">
        <v>0</v>
      </c>
    </row>
    <row r="428" spans="1:7" ht="21.75" customHeight="1">
      <c r="A428" s="29"/>
      <c r="E428" s="28"/>
      <c r="G428" s="25">
        <v>0</v>
      </c>
    </row>
    <row r="429" spans="1:7" ht="21.75" customHeight="1">
      <c r="A429" s="29"/>
      <c r="E429" s="28"/>
      <c r="G429" s="25">
        <v>0</v>
      </c>
    </row>
    <row r="430" spans="1:7" ht="21.75" customHeight="1">
      <c r="A430" s="29"/>
      <c r="E430" s="28"/>
      <c r="G430" s="25">
        <v>0</v>
      </c>
    </row>
    <row r="431" spans="1:7" ht="21.75" customHeight="1">
      <c r="A431" s="29"/>
      <c r="E431" s="28"/>
      <c r="G431" s="25">
        <v>0</v>
      </c>
    </row>
    <row r="432" spans="1:7" ht="21.75" customHeight="1">
      <c r="A432" s="29"/>
      <c r="E432" s="28"/>
      <c r="G432" s="25">
        <v>0</v>
      </c>
    </row>
    <row r="433" spans="1:7" ht="21.75" customHeight="1">
      <c r="A433" s="29"/>
      <c r="E433" s="28"/>
      <c r="G433" s="25">
        <v>0</v>
      </c>
    </row>
    <row r="434" spans="1:7" ht="21.75" customHeight="1">
      <c r="A434" s="29"/>
      <c r="E434" s="28"/>
      <c r="G434" s="25">
        <v>0</v>
      </c>
    </row>
    <row r="435" spans="1:7" ht="21.75" customHeight="1">
      <c r="A435" s="29"/>
      <c r="E435" s="28"/>
      <c r="G435" s="25">
        <v>0</v>
      </c>
    </row>
    <row r="436" spans="1:7" ht="21.75" customHeight="1">
      <c r="A436" s="29"/>
      <c r="E436" s="28"/>
      <c r="G436" s="25">
        <v>0</v>
      </c>
    </row>
    <row r="437" spans="1:7" ht="21.75" customHeight="1">
      <c r="A437" s="29"/>
      <c r="E437" s="28"/>
      <c r="G437" s="25">
        <v>0</v>
      </c>
    </row>
    <row r="438" spans="1:7" ht="21.75" customHeight="1">
      <c r="A438" s="29"/>
      <c r="E438" s="28"/>
      <c r="G438" s="25">
        <v>0</v>
      </c>
    </row>
    <row r="439" spans="1:7" ht="21.75" customHeight="1">
      <c r="A439" s="29"/>
      <c r="E439" s="28"/>
      <c r="G439" s="25">
        <v>0</v>
      </c>
    </row>
    <row r="440" spans="1:7" ht="21.75" customHeight="1">
      <c r="A440" s="29"/>
      <c r="E440" s="28"/>
      <c r="G440" s="25">
        <v>0</v>
      </c>
    </row>
    <row r="441" spans="1:7" ht="21.75" customHeight="1">
      <c r="A441" s="29"/>
      <c r="E441" s="28"/>
      <c r="G441" s="25">
        <v>0</v>
      </c>
    </row>
    <row r="442" spans="1:7" ht="21.75" customHeight="1">
      <c r="A442" s="29"/>
      <c r="E442" s="28"/>
      <c r="G442" s="25">
        <v>0</v>
      </c>
    </row>
    <row r="443" spans="1:7" ht="21.75" customHeight="1">
      <c r="A443" s="29"/>
      <c r="E443" s="28"/>
      <c r="G443" s="25">
        <v>0</v>
      </c>
    </row>
    <row r="444" spans="1:7" ht="21.75" customHeight="1">
      <c r="A444" s="29"/>
      <c r="E444" s="28"/>
      <c r="G444" s="25">
        <v>0</v>
      </c>
    </row>
    <row r="445" spans="1:7" ht="21.75" customHeight="1">
      <c r="A445" s="29"/>
      <c r="E445" s="28"/>
      <c r="G445" s="25">
        <v>0</v>
      </c>
    </row>
    <row r="446" spans="1:7" ht="21.75" customHeight="1">
      <c r="A446" s="29"/>
      <c r="E446" s="28"/>
      <c r="G446" s="25">
        <v>0</v>
      </c>
    </row>
    <row r="447" spans="1:7" ht="21.75" customHeight="1">
      <c r="A447" s="29"/>
      <c r="E447" s="28"/>
      <c r="G447" s="25">
        <v>0</v>
      </c>
    </row>
    <row r="448" spans="1:7" ht="21.75" customHeight="1">
      <c r="A448" s="29"/>
      <c r="E448" s="28"/>
      <c r="G448" s="25">
        <v>0</v>
      </c>
    </row>
    <row r="449" spans="1:7" ht="21.75" customHeight="1">
      <c r="A449" s="29"/>
      <c r="E449" s="28"/>
      <c r="G449" s="25">
        <v>0</v>
      </c>
    </row>
    <row r="450" spans="1:7" ht="21.75" customHeight="1">
      <c r="A450" s="29"/>
      <c r="E450" s="28"/>
      <c r="G450" s="25">
        <v>0</v>
      </c>
    </row>
    <row r="451" spans="1:7" ht="21.75" customHeight="1">
      <c r="A451" s="29"/>
      <c r="E451" s="28"/>
      <c r="G451" s="25">
        <v>0</v>
      </c>
    </row>
    <row r="452" spans="1:7" ht="21.75" customHeight="1">
      <c r="A452" s="29"/>
      <c r="E452" s="28"/>
      <c r="G452" s="25">
        <v>0</v>
      </c>
    </row>
    <row r="453" spans="1:7" ht="21.75" customHeight="1">
      <c r="A453" s="29"/>
      <c r="E453" s="28"/>
      <c r="G453" s="25">
        <v>0</v>
      </c>
    </row>
    <row r="454" spans="1:7" ht="21.75" customHeight="1">
      <c r="A454" s="29"/>
      <c r="E454" s="28"/>
      <c r="G454" s="25">
        <v>0</v>
      </c>
    </row>
    <row r="455" spans="1:7" ht="21.75" customHeight="1">
      <c r="A455" s="29"/>
      <c r="E455" s="28"/>
      <c r="G455" s="25">
        <v>0</v>
      </c>
    </row>
    <row r="456" spans="1:7" ht="21.75" customHeight="1">
      <c r="A456" s="29"/>
      <c r="E456" s="28"/>
      <c r="G456" s="25">
        <v>0</v>
      </c>
    </row>
    <row r="457" spans="1:7" ht="21.75" customHeight="1">
      <c r="A457" s="29"/>
      <c r="E457" s="28"/>
      <c r="G457" s="25">
        <v>0</v>
      </c>
    </row>
    <row r="458" spans="1:7" ht="21.75" customHeight="1">
      <c r="A458" s="29"/>
      <c r="E458" s="28"/>
      <c r="G458" s="25">
        <v>0</v>
      </c>
    </row>
    <row r="459" spans="1:7" ht="21.75" customHeight="1">
      <c r="A459" s="29"/>
      <c r="E459" s="28"/>
      <c r="G459" s="25">
        <v>0</v>
      </c>
    </row>
    <row r="460" spans="1:7" ht="21.75" customHeight="1">
      <c r="A460" s="29"/>
      <c r="E460" s="28"/>
      <c r="G460" s="25">
        <v>0</v>
      </c>
    </row>
    <row r="461" spans="1:7" ht="21.75" customHeight="1">
      <c r="A461" s="29"/>
      <c r="E461" s="28"/>
      <c r="G461" s="25">
        <v>0</v>
      </c>
    </row>
    <row r="462" spans="1:7" ht="21.75" customHeight="1">
      <c r="A462" s="29"/>
      <c r="E462" s="28"/>
      <c r="G462" s="25">
        <v>0</v>
      </c>
    </row>
    <row r="463" spans="1:7" ht="21.75" customHeight="1">
      <c r="A463" s="29"/>
      <c r="E463" s="28"/>
      <c r="G463" s="25">
        <v>0</v>
      </c>
    </row>
    <row r="464" spans="1:7" ht="21.75" customHeight="1">
      <c r="A464" s="29"/>
      <c r="E464" s="28"/>
      <c r="G464" s="25">
        <v>0</v>
      </c>
    </row>
    <row r="465" spans="1:7" ht="21.75" customHeight="1">
      <c r="A465" s="29"/>
      <c r="E465" s="28"/>
      <c r="G465" s="25">
        <v>0</v>
      </c>
    </row>
    <row r="466" spans="1:7" ht="21.75" customHeight="1">
      <c r="A466" s="29"/>
      <c r="E466" s="28"/>
      <c r="G466" s="25">
        <v>0</v>
      </c>
    </row>
    <row r="467" spans="1:7" ht="21.75" customHeight="1">
      <c r="A467" s="29"/>
      <c r="E467" s="28"/>
      <c r="G467" s="25">
        <v>0</v>
      </c>
    </row>
    <row r="468" spans="1:7" ht="21.75" customHeight="1">
      <c r="A468" s="29"/>
      <c r="E468" s="28"/>
      <c r="G468" s="25">
        <v>0</v>
      </c>
    </row>
    <row r="469" spans="1:7" ht="21.75" customHeight="1">
      <c r="A469" s="29"/>
      <c r="E469" s="28"/>
      <c r="G469" s="25">
        <v>0</v>
      </c>
    </row>
    <row r="470" spans="1:7" ht="21.75" customHeight="1">
      <c r="A470" s="29"/>
      <c r="E470" s="28"/>
      <c r="G470" s="25">
        <v>0</v>
      </c>
    </row>
    <row r="471" spans="1:7" ht="21.75" customHeight="1">
      <c r="A471" s="29"/>
      <c r="E471" s="28"/>
      <c r="G471" s="25">
        <v>0</v>
      </c>
    </row>
    <row r="472" spans="1:7" ht="21.75" customHeight="1">
      <c r="A472" s="29"/>
      <c r="E472" s="28"/>
      <c r="G472" s="25">
        <v>0</v>
      </c>
    </row>
    <row r="473" spans="1:7" ht="21.75" customHeight="1">
      <c r="A473" s="29"/>
      <c r="E473" s="28"/>
      <c r="G473" s="25">
        <v>0</v>
      </c>
    </row>
    <row r="474" spans="1:7" ht="21.75" customHeight="1">
      <c r="A474" s="29"/>
      <c r="E474" s="28"/>
      <c r="G474" s="25">
        <v>0</v>
      </c>
    </row>
    <row r="475" spans="1:7" ht="21.75" customHeight="1">
      <c r="A475" s="29"/>
      <c r="E475" s="28"/>
      <c r="G475" s="25">
        <v>0</v>
      </c>
    </row>
    <row r="476" spans="1:7" ht="21.75" customHeight="1">
      <c r="A476" s="29"/>
      <c r="E476" s="28"/>
      <c r="G476" s="25">
        <v>0</v>
      </c>
    </row>
    <row r="477" spans="1:7" ht="21.75" customHeight="1">
      <c r="A477" s="29"/>
      <c r="E477" s="28"/>
      <c r="G477" s="25">
        <v>0</v>
      </c>
    </row>
    <row r="478" spans="1:7" ht="21.75" customHeight="1">
      <c r="A478" s="29"/>
      <c r="E478" s="28"/>
      <c r="G478" s="25">
        <v>0</v>
      </c>
    </row>
    <row r="479" spans="1:7" ht="21.75" customHeight="1">
      <c r="A479" s="29"/>
      <c r="E479" s="28"/>
      <c r="G479" s="25">
        <v>0</v>
      </c>
    </row>
    <row r="480" spans="1:7" ht="21.75" customHeight="1">
      <c r="A480" s="29"/>
      <c r="E480" s="28"/>
      <c r="G480" s="25">
        <v>0</v>
      </c>
    </row>
    <row r="481" spans="1:7" ht="21.75" customHeight="1">
      <c r="A481" s="29"/>
      <c r="E481" s="28"/>
      <c r="G481" s="25">
        <v>0</v>
      </c>
    </row>
    <row r="482" spans="1:7" ht="21.75" customHeight="1">
      <c r="A482" s="29"/>
      <c r="E482" s="28"/>
      <c r="G482" s="25">
        <v>0</v>
      </c>
    </row>
    <row r="483" spans="1:7" ht="21.75" customHeight="1">
      <c r="A483" s="29"/>
      <c r="E483" s="28"/>
      <c r="G483" s="25">
        <v>0</v>
      </c>
    </row>
    <row r="484" spans="1:7" ht="21.75" customHeight="1">
      <c r="A484" s="29"/>
      <c r="E484" s="28"/>
      <c r="G484" s="25">
        <v>0</v>
      </c>
    </row>
    <row r="485" spans="1:7" ht="21.75" customHeight="1">
      <c r="A485" s="29"/>
      <c r="E485" s="28"/>
      <c r="G485" s="25">
        <v>0</v>
      </c>
    </row>
    <row r="486" spans="1:7" ht="21.75" customHeight="1">
      <c r="A486" s="29"/>
      <c r="E486" s="28"/>
      <c r="G486" s="25">
        <v>0</v>
      </c>
    </row>
    <row r="487" spans="1:7" ht="21.75" customHeight="1">
      <c r="A487" s="29"/>
      <c r="E487" s="28"/>
      <c r="G487" s="25">
        <v>0</v>
      </c>
    </row>
    <row r="488" spans="1:7" ht="21.75" customHeight="1">
      <c r="A488" s="29"/>
      <c r="E488" s="28"/>
      <c r="G488" s="25">
        <v>0</v>
      </c>
    </row>
    <row r="489" spans="1:7" ht="21.75" customHeight="1">
      <c r="A489" s="29"/>
      <c r="E489" s="28"/>
      <c r="G489" s="25">
        <v>0</v>
      </c>
    </row>
    <row r="490" spans="1:7" ht="21.75" customHeight="1">
      <c r="A490" s="29"/>
      <c r="E490" s="28"/>
      <c r="G490" s="25">
        <v>0</v>
      </c>
    </row>
    <row r="491" spans="1:7" ht="21.75" customHeight="1">
      <c r="A491" s="29"/>
      <c r="E491" s="28"/>
      <c r="G491" s="25">
        <v>0</v>
      </c>
    </row>
    <row r="492" spans="1:7" ht="21.75" customHeight="1">
      <c r="A492" s="29"/>
      <c r="E492" s="28"/>
      <c r="G492" s="25">
        <v>0</v>
      </c>
    </row>
    <row r="493" spans="1:7" ht="21.75" customHeight="1">
      <c r="A493" s="29"/>
      <c r="E493" s="28"/>
      <c r="G493" s="25">
        <v>0</v>
      </c>
    </row>
    <row r="494" spans="1:7" ht="21.75" customHeight="1">
      <c r="A494" s="29"/>
      <c r="E494" s="28"/>
      <c r="G494" s="25">
        <v>0</v>
      </c>
    </row>
    <row r="495" spans="1:7" ht="21.75" customHeight="1">
      <c r="A495" s="29"/>
      <c r="E495" s="28"/>
      <c r="G495" s="25">
        <v>0</v>
      </c>
    </row>
    <row r="496" spans="1:7" ht="21.75" customHeight="1">
      <c r="A496" s="29"/>
      <c r="E496" s="28"/>
      <c r="G496" s="25">
        <v>0</v>
      </c>
    </row>
    <row r="497" spans="1:7" ht="21.75" customHeight="1">
      <c r="A497" s="29"/>
      <c r="E497" s="28"/>
      <c r="G497" s="25">
        <v>0</v>
      </c>
    </row>
    <row r="498" spans="1:7" ht="21.75" customHeight="1">
      <c r="A498" s="29"/>
      <c r="E498" s="28"/>
      <c r="G498" s="25">
        <v>0</v>
      </c>
    </row>
    <row r="499" spans="1:7" ht="21.75" customHeight="1">
      <c r="A499" s="29"/>
      <c r="E499" s="28"/>
      <c r="G499" s="25">
        <v>0</v>
      </c>
    </row>
    <row r="500" spans="1:7" ht="21.75" customHeight="1">
      <c r="A500" s="29"/>
      <c r="E500" s="28"/>
      <c r="G500" s="25">
        <v>0</v>
      </c>
    </row>
    <row r="501" spans="1:7" ht="21.75" customHeight="1">
      <c r="A501" s="29"/>
      <c r="E501" s="28"/>
      <c r="G501" s="25">
        <v>0</v>
      </c>
    </row>
    <row r="502" spans="1:7" ht="21.75" customHeight="1">
      <c r="A502" s="29"/>
      <c r="E502" s="28"/>
      <c r="G502" s="25">
        <v>0</v>
      </c>
    </row>
    <row r="503" spans="1:7" ht="21.75" customHeight="1">
      <c r="A503" s="29"/>
      <c r="E503" s="28"/>
      <c r="G503" s="25">
        <v>0</v>
      </c>
    </row>
    <row r="504" spans="1:7" ht="21.75" customHeight="1">
      <c r="A504" s="29"/>
      <c r="E504" s="28"/>
      <c r="G504" s="25">
        <v>0</v>
      </c>
    </row>
    <row r="505" spans="1:7" ht="21.75" customHeight="1">
      <c r="A505" s="29"/>
      <c r="E505" s="28"/>
      <c r="G505" s="25">
        <v>0</v>
      </c>
    </row>
    <row r="506" spans="1:7" ht="21.75" customHeight="1">
      <c r="A506" s="29"/>
      <c r="E506" s="28"/>
      <c r="G506" s="25">
        <v>0</v>
      </c>
    </row>
    <row r="507" spans="1:7" ht="21.75" customHeight="1">
      <c r="A507" s="29"/>
      <c r="E507" s="28"/>
      <c r="G507" s="25">
        <v>0</v>
      </c>
    </row>
    <row r="508" spans="1:7" ht="21.75" customHeight="1">
      <c r="A508" s="29"/>
      <c r="E508" s="28"/>
      <c r="G508" s="25">
        <v>0</v>
      </c>
    </row>
    <row r="509" spans="1:7" ht="21.75" customHeight="1">
      <c r="A509" s="29"/>
      <c r="E509" s="28"/>
      <c r="G509" s="25">
        <v>0</v>
      </c>
    </row>
    <row r="510" spans="1:7" ht="21.75" customHeight="1">
      <c r="A510" s="29"/>
      <c r="E510" s="28"/>
      <c r="G510" s="25">
        <v>0</v>
      </c>
    </row>
    <row r="511" spans="1:7" ht="21.75" customHeight="1">
      <c r="A511" s="29"/>
      <c r="E511" s="28"/>
      <c r="G511" s="25">
        <v>0</v>
      </c>
    </row>
    <row r="512" spans="1:7" ht="21.75" customHeight="1">
      <c r="A512" s="29"/>
      <c r="E512" s="28"/>
      <c r="G512" s="25">
        <v>0</v>
      </c>
    </row>
    <row r="513" spans="1:7" ht="21.75" customHeight="1">
      <c r="A513" s="29"/>
      <c r="E513" s="28"/>
      <c r="G513" s="25">
        <v>0</v>
      </c>
    </row>
    <row r="514" spans="1:7" ht="21.75" customHeight="1">
      <c r="A514" s="29"/>
      <c r="E514" s="28"/>
      <c r="G514" s="25">
        <v>0</v>
      </c>
    </row>
    <row r="515" spans="1:7" ht="21.75" customHeight="1">
      <c r="A515" s="29"/>
      <c r="E515" s="28"/>
      <c r="G515" s="25">
        <v>0</v>
      </c>
    </row>
    <row r="516" spans="1:7" ht="21.75" customHeight="1">
      <c r="A516" s="29"/>
      <c r="E516" s="28"/>
      <c r="G516" s="25">
        <v>0</v>
      </c>
    </row>
    <row r="517" spans="1:7" ht="21.75" customHeight="1">
      <c r="A517" s="29"/>
      <c r="E517" s="28"/>
      <c r="G517" s="25">
        <v>0</v>
      </c>
    </row>
    <row r="518" spans="1:7" ht="21.75" customHeight="1">
      <c r="A518" s="29"/>
      <c r="E518" s="28"/>
      <c r="G518" s="25">
        <v>0</v>
      </c>
    </row>
    <row r="519" spans="1:7" ht="21.75" customHeight="1">
      <c r="A519" s="29"/>
      <c r="E519" s="28"/>
      <c r="G519" s="25">
        <v>0</v>
      </c>
    </row>
    <row r="520" spans="1:7" ht="21.75" customHeight="1">
      <c r="A520" s="29"/>
      <c r="E520" s="28"/>
      <c r="G520" s="25">
        <v>0</v>
      </c>
    </row>
    <row r="521" spans="1:7" ht="21.75" customHeight="1">
      <c r="A521" s="29"/>
      <c r="E521" s="28"/>
      <c r="G521" s="25">
        <v>0</v>
      </c>
    </row>
    <row r="522" spans="1:7" ht="21.75" customHeight="1">
      <c r="A522" s="29"/>
      <c r="E522" s="28"/>
      <c r="G522" s="25">
        <v>0</v>
      </c>
    </row>
    <row r="523" spans="1:7" ht="21.75" customHeight="1">
      <c r="A523" s="29"/>
      <c r="E523" s="28"/>
      <c r="G523" s="25">
        <v>0</v>
      </c>
    </row>
    <row r="524" spans="1:7" ht="21.75" customHeight="1">
      <c r="A524" s="29"/>
      <c r="E524" s="28"/>
      <c r="G524" s="25">
        <v>0</v>
      </c>
    </row>
    <row r="525" spans="1:7" ht="21.75" customHeight="1">
      <c r="A525" s="29"/>
      <c r="E525" s="28"/>
      <c r="G525" s="25">
        <v>0</v>
      </c>
    </row>
    <row r="526" spans="1:7" ht="21.75" customHeight="1">
      <c r="A526" s="29"/>
      <c r="E526" s="28"/>
      <c r="G526" s="25">
        <v>0</v>
      </c>
    </row>
    <row r="527" spans="1:7" ht="21.75" customHeight="1">
      <c r="A527" s="29"/>
      <c r="E527" s="28"/>
      <c r="G527" s="25">
        <v>0</v>
      </c>
    </row>
    <row r="528" spans="1:7" ht="21.75" customHeight="1">
      <c r="A528" s="29"/>
      <c r="E528" s="28"/>
      <c r="G528" s="25">
        <v>0</v>
      </c>
    </row>
    <row r="529" spans="1:7" ht="21.75" customHeight="1">
      <c r="A529" s="29"/>
      <c r="E529" s="28"/>
      <c r="G529" s="25">
        <v>0</v>
      </c>
    </row>
    <row r="530" spans="1:7" ht="21.75" customHeight="1">
      <c r="A530" s="29"/>
      <c r="E530" s="28"/>
      <c r="G530" s="25">
        <v>0</v>
      </c>
    </row>
    <row r="531" spans="1:7" ht="21.75" customHeight="1">
      <c r="A531" s="29"/>
      <c r="E531" s="28"/>
      <c r="G531" s="25">
        <v>0</v>
      </c>
    </row>
    <row r="532" spans="1:7" ht="21.75" customHeight="1">
      <c r="A532" s="29"/>
      <c r="E532" s="28"/>
      <c r="G532" s="25">
        <v>0</v>
      </c>
    </row>
    <row r="533" spans="1:7" ht="21.75" customHeight="1">
      <c r="A533" s="29"/>
      <c r="E533" s="28"/>
      <c r="G533" s="25">
        <v>0</v>
      </c>
    </row>
    <row r="534" spans="1:7" ht="21.75" customHeight="1">
      <c r="A534" s="29"/>
      <c r="E534" s="28"/>
      <c r="G534" s="25">
        <v>0</v>
      </c>
    </row>
    <row r="535" spans="1:7" ht="21.75" customHeight="1">
      <c r="A535" s="29"/>
      <c r="E535" s="28"/>
      <c r="G535" s="25">
        <v>0</v>
      </c>
    </row>
    <row r="536" spans="1:7" ht="21.75" customHeight="1">
      <c r="A536" s="29"/>
      <c r="E536" s="28"/>
      <c r="G536" s="25">
        <v>0</v>
      </c>
    </row>
    <row r="537" spans="1:7" ht="21.75" customHeight="1">
      <c r="A537" s="29"/>
      <c r="E537" s="28"/>
      <c r="G537" s="25">
        <v>0</v>
      </c>
    </row>
    <row r="538" spans="1:7" ht="21.75" customHeight="1">
      <c r="A538" s="29"/>
      <c r="E538" s="28"/>
      <c r="G538" s="25">
        <v>0</v>
      </c>
    </row>
    <row r="539" spans="1:7" ht="21.75" customHeight="1">
      <c r="A539" s="29"/>
      <c r="E539" s="28"/>
      <c r="G539" s="25">
        <v>0</v>
      </c>
    </row>
    <row r="540" spans="1:7" ht="21.75" customHeight="1">
      <c r="A540" s="29"/>
      <c r="E540" s="28"/>
      <c r="G540" s="25">
        <v>0</v>
      </c>
    </row>
    <row r="541" spans="1:7" ht="21.75" customHeight="1">
      <c r="A541" s="29"/>
      <c r="E541" s="28"/>
      <c r="G541" s="25">
        <v>0</v>
      </c>
    </row>
    <row r="542" spans="1:7" ht="21.75" customHeight="1">
      <c r="A542" s="29"/>
      <c r="E542" s="28"/>
      <c r="G542" s="25">
        <v>0</v>
      </c>
    </row>
    <row r="543" spans="1:7" ht="21.75" customHeight="1">
      <c r="A543" s="29"/>
      <c r="E543" s="28"/>
      <c r="G543" s="25">
        <v>0</v>
      </c>
    </row>
    <row r="544" spans="1:7" ht="21.75" customHeight="1">
      <c r="A544" s="29"/>
      <c r="E544" s="28"/>
      <c r="G544" s="25">
        <v>0</v>
      </c>
    </row>
    <row r="545" spans="1:7" ht="21.75" customHeight="1">
      <c r="A545" s="29"/>
      <c r="E545" s="28"/>
      <c r="G545" s="25">
        <v>0</v>
      </c>
    </row>
    <row r="546" spans="1:7" ht="21.75" customHeight="1">
      <c r="A546" s="29"/>
      <c r="E546" s="28"/>
      <c r="G546" s="25">
        <v>0</v>
      </c>
    </row>
    <row r="547" spans="1:7" ht="21.75" customHeight="1">
      <c r="A547" s="29"/>
      <c r="E547" s="28"/>
      <c r="G547" s="25">
        <v>0</v>
      </c>
    </row>
    <row r="548" spans="1:7" ht="21.75" customHeight="1">
      <c r="A548" s="29"/>
      <c r="E548" s="28"/>
      <c r="G548" s="25">
        <v>0</v>
      </c>
    </row>
    <row r="549" spans="1:7" ht="21.75" customHeight="1">
      <c r="A549" s="29"/>
      <c r="E549" s="28"/>
      <c r="G549" s="25">
        <v>0</v>
      </c>
    </row>
    <row r="550" spans="1:7" ht="21.75" customHeight="1">
      <c r="A550" s="29"/>
      <c r="E550" s="28"/>
      <c r="G550" s="25">
        <v>0</v>
      </c>
    </row>
    <row r="551" spans="1:7" ht="21.75" customHeight="1">
      <c r="A551" s="29"/>
      <c r="E551" s="28"/>
      <c r="G551" s="25">
        <v>0</v>
      </c>
    </row>
    <row r="552" spans="1:7" ht="21.75" customHeight="1">
      <c r="A552" s="29"/>
      <c r="E552" s="28"/>
      <c r="G552" s="25">
        <v>0</v>
      </c>
    </row>
    <row r="553" spans="1:7" ht="21.75" customHeight="1">
      <c r="A553" s="29"/>
      <c r="E553" s="28"/>
      <c r="G553" s="25">
        <v>0</v>
      </c>
    </row>
    <row r="554" spans="1:7" ht="21.75" customHeight="1">
      <c r="A554" s="29"/>
      <c r="E554" s="28"/>
      <c r="G554" s="25">
        <v>0</v>
      </c>
    </row>
    <row r="555" spans="1:7" ht="21.75" customHeight="1">
      <c r="A555" s="29"/>
      <c r="E555" s="28"/>
      <c r="G555" s="25">
        <v>0</v>
      </c>
    </row>
    <row r="556" spans="1:7" ht="21.75" customHeight="1">
      <c r="A556" s="29"/>
      <c r="E556" s="28"/>
      <c r="G556" s="25">
        <v>0</v>
      </c>
    </row>
    <row r="557" spans="1:7" ht="21.75" customHeight="1">
      <c r="A557" s="29"/>
      <c r="E557" s="28"/>
      <c r="G557" s="25">
        <v>0</v>
      </c>
    </row>
    <row r="558" spans="1:7" ht="21.75" customHeight="1">
      <c r="A558" s="29"/>
      <c r="E558" s="28"/>
      <c r="G558" s="25">
        <v>0</v>
      </c>
    </row>
    <row r="559" spans="1:7" ht="21.75" customHeight="1">
      <c r="A559" s="29"/>
      <c r="E559" s="28"/>
      <c r="G559" s="25">
        <v>0</v>
      </c>
    </row>
    <row r="560" spans="1:7" ht="21.75" customHeight="1">
      <c r="A560" s="29"/>
      <c r="E560" s="28"/>
      <c r="G560" s="25">
        <v>0</v>
      </c>
    </row>
    <row r="561" spans="1:7" ht="21.75" customHeight="1">
      <c r="A561" s="29"/>
      <c r="E561" s="28"/>
      <c r="G561" s="25">
        <v>0</v>
      </c>
    </row>
    <row r="562" spans="1:7" ht="21.75" customHeight="1">
      <c r="A562" s="29"/>
      <c r="E562" s="28"/>
      <c r="G562" s="25">
        <v>0</v>
      </c>
    </row>
    <row r="563" spans="1:7" ht="21.75" customHeight="1">
      <c r="A563" s="29"/>
      <c r="E563" s="28"/>
      <c r="G563" s="25">
        <v>0</v>
      </c>
    </row>
    <row r="564" spans="1:7" ht="21.75" customHeight="1">
      <c r="A564" s="29"/>
      <c r="E564" s="28"/>
      <c r="G564" s="25">
        <v>0</v>
      </c>
    </row>
    <row r="565" spans="1:7" ht="21.75" customHeight="1">
      <c r="A565" s="29"/>
      <c r="E565" s="28"/>
      <c r="G565" s="25">
        <v>0</v>
      </c>
    </row>
    <row r="566" spans="1:7" ht="21.75" customHeight="1">
      <c r="A566" s="29"/>
      <c r="E566" s="28"/>
      <c r="G566" s="25">
        <v>0</v>
      </c>
    </row>
    <row r="567" spans="1:7" ht="21.75" customHeight="1">
      <c r="A567" s="29"/>
      <c r="E567" s="28"/>
      <c r="G567" s="25">
        <v>0</v>
      </c>
    </row>
    <row r="568" spans="1:7" ht="21.75" customHeight="1">
      <c r="A568" s="29"/>
      <c r="E568" s="28"/>
      <c r="G568" s="25">
        <v>0</v>
      </c>
    </row>
    <row r="569" spans="1:7" ht="21.75" customHeight="1">
      <c r="A569" s="29"/>
      <c r="E569" s="28"/>
      <c r="G569" s="25">
        <v>0</v>
      </c>
    </row>
    <row r="570" spans="1:7" ht="21.75" customHeight="1">
      <c r="A570" s="29"/>
      <c r="E570" s="28"/>
      <c r="G570" s="25">
        <v>0</v>
      </c>
    </row>
    <row r="571" spans="1:7" ht="21.75" customHeight="1">
      <c r="A571" s="29"/>
      <c r="E571" s="28"/>
      <c r="G571" s="25">
        <v>0</v>
      </c>
    </row>
    <row r="572" spans="1:7" ht="21.75" customHeight="1">
      <c r="A572" s="29"/>
      <c r="E572" s="28"/>
      <c r="G572" s="25">
        <v>0</v>
      </c>
    </row>
    <row r="573" spans="1:7" ht="21.75" customHeight="1">
      <c r="A573" s="29"/>
      <c r="E573" s="28"/>
      <c r="G573" s="25">
        <v>0</v>
      </c>
    </row>
    <row r="574" spans="1:7" ht="21.75" customHeight="1">
      <c r="A574" s="29"/>
      <c r="E574" s="28"/>
      <c r="G574" s="25">
        <v>0</v>
      </c>
    </row>
    <row r="575" spans="1:7" ht="21.75" customHeight="1">
      <c r="A575" s="29"/>
      <c r="E575" s="28"/>
      <c r="G575" s="25">
        <v>0</v>
      </c>
    </row>
    <row r="576" spans="1:7" ht="21.75" customHeight="1">
      <c r="A576" s="29"/>
      <c r="E576" s="28"/>
      <c r="G576" s="25">
        <v>0</v>
      </c>
    </row>
    <row r="577" spans="1:7" ht="21.75" customHeight="1">
      <c r="A577" s="29"/>
      <c r="E577" s="28"/>
      <c r="G577" s="25">
        <v>0</v>
      </c>
    </row>
    <row r="578" spans="1:7" ht="21.75" customHeight="1">
      <c r="A578" s="29"/>
      <c r="E578" s="28"/>
      <c r="G578" s="25">
        <v>0</v>
      </c>
    </row>
    <row r="579" spans="1:7" ht="21.75" customHeight="1">
      <c r="A579" s="29"/>
      <c r="E579" s="28"/>
      <c r="G579" s="25">
        <v>0</v>
      </c>
    </row>
    <row r="580" spans="1:7" ht="21.75" customHeight="1">
      <c r="A580" s="29"/>
      <c r="E580" s="28"/>
      <c r="G580" s="25">
        <v>0</v>
      </c>
    </row>
    <row r="581" spans="1:7" ht="21.75" customHeight="1">
      <c r="A581" s="29"/>
      <c r="E581" s="28"/>
      <c r="G581" s="25">
        <v>0</v>
      </c>
    </row>
    <row r="582" spans="1:7" ht="21.75" customHeight="1">
      <c r="A582" s="29"/>
      <c r="E582" s="28"/>
      <c r="G582" s="25">
        <v>0</v>
      </c>
    </row>
    <row r="583" spans="1:7" ht="21.75" customHeight="1">
      <c r="A583" s="29"/>
      <c r="E583" s="28"/>
      <c r="G583" s="25">
        <v>0</v>
      </c>
    </row>
    <row r="584" spans="1:7" ht="21.75" customHeight="1">
      <c r="A584" s="29"/>
      <c r="E584" s="28"/>
      <c r="G584" s="25">
        <v>0</v>
      </c>
    </row>
    <row r="585" spans="1:7" ht="21.75" customHeight="1">
      <c r="A585" s="29"/>
      <c r="E585" s="28"/>
      <c r="G585" s="25">
        <v>0</v>
      </c>
    </row>
    <row r="586" spans="1:7" ht="21.75" customHeight="1">
      <c r="A586" s="29"/>
      <c r="E586" s="28"/>
      <c r="G586" s="25">
        <v>0</v>
      </c>
    </row>
    <row r="587" spans="1:7" ht="21.75" customHeight="1">
      <c r="A587" s="29"/>
      <c r="E587" s="28"/>
      <c r="G587" s="25">
        <v>0</v>
      </c>
    </row>
    <row r="588" spans="1:7" ht="21.75" customHeight="1">
      <c r="A588" s="29"/>
      <c r="E588" s="28"/>
      <c r="G588" s="25">
        <v>0</v>
      </c>
    </row>
    <row r="589" spans="1:7" ht="21.75" customHeight="1">
      <c r="A589" s="29"/>
      <c r="E589" s="28"/>
      <c r="G589" s="25">
        <v>0</v>
      </c>
    </row>
    <row r="590" spans="1:7" ht="21.75" customHeight="1">
      <c r="A590" s="29"/>
      <c r="E590" s="28"/>
      <c r="G590" s="25">
        <v>0</v>
      </c>
    </row>
    <row r="591" spans="1:7" ht="21.75" customHeight="1">
      <c r="A591" s="29"/>
      <c r="E591" s="28"/>
      <c r="G591" s="25">
        <v>0</v>
      </c>
    </row>
    <row r="592" spans="1:7" ht="21.75" customHeight="1">
      <c r="A592" s="29"/>
      <c r="E592" s="28"/>
      <c r="G592" s="25">
        <v>0</v>
      </c>
    </row>
    <row r="593" spans="1:7" ht="21.75" customHeight="1">
      <c r="A593" s="29"/>
      <c r="E593" s="28"/>
      <c r="G593" s="25">
        <v>0</v>
      </c>
    </row>
    <row r="594" spans="1:7" ht="21.75" customHeight="1">
      <c r="A594" s="29"/>
      <c r="E594" s="28"/>
      <c r="G594" s="25">
        <v>0</v>
      </c>
    </row>
    <row r="595" spans="1:7" ht="21.75" customHeight="1">
      <c r="A595" s="29"/>
      <c r="E595" s="28"/>
      <c r="G595" s="25">
        <v>0</v>
      </c>
    </row>
    <row r="596" spans="1:7" ht="21.75" customHeight="1">
      <c r="A596" s="29"/>
      <c r="E596" s="28"/>
      <c r="G596" s="25">
        <v>0</v>
      </c>
    </row>
    <row r="597" spans="1:7" ht="21.75" customHeight="1">
      <c r="A597" s="29"/>
      <c r="E597" s="28"/>
      <c r="G597" s="25">
        <v>0</v>
      </c>
    </row>
    <row r="598" spans="1:7" ht="21.75" customHeight="1">
      <c r="A598" s="29"/>
      <c r="E598" s="28"/>
      <c r="G598" s="25">
        <v>0</v>
      </c>
    </row>
    <row r="599" spans="1:7" ht="21.75" customHeight="1">
      <c r="A599" s="29"/>
      <c r="E599" s="28"/>
      <c r="G599" s="25">
        <v>0</v>
      </c>
    </row>
    <row r="600" spans="1:7" ht="21.75" customHeight="1">
      <c r="A600" s="29"/>
      <c r="E600" s="28"/>
      <c r="G600" s="25">
        <v>0</v>
      </c>
    </row>
    <row r="601" spans="1:7" ht="21.75" customHeight="1">
      <c r="A601" s="29"/>
      <c r="E601" s="28"/>
      <c r="G601" s="25">
        <v>0</v>
      </c>
    </row>
    <row r="602" spans="1:7" ht="21.75" customHeight="1">
      <c r="A602" s="29"/>
      <c r="E602" s="28"/>
      <c r="G602" s="25">
        <v>0</v>
      </c>
    </row>
    <row r="603" spans="1:7" ht="21.75" customHeight="1">
      <c r="A603" s="29"/>
      <c r="E603" s="28"/>
      <c r="G603" s="25">
        <v>0</v>
      </c>
    </row>
    <row r="604" spans="1:7" ht="21.75" customHeight="1">
      <c r="A604" s="29"/>
      <c r="E604" s="28"/>
      <c r="G604" s="25">
        <v>0</v>
      </c>
    </row>
    <row r="605" spans="1:7" ht="21.75" customHeight="1">
      <c r="A605" s="29"/>
      <c r="E605" s="28"/>
      <c r="G605" s="25">
        <v>0</v>
      </c>
    </row>
    <row r="606" spans="1:7" ht="21.75" customHeight="1">
      <c r="A606" s="29"/>
      <c r="E606" s="28"/>
      <c r="G606" s="25">
        <v>0</v>
      </c>
    </row>
    <row r="607" spans="1:7" ht="21.75" customHeight="1">
      <c r="A607" s="29"/>
      <c r="E607" s="28"/>
      <c r="G607" s="25">
        <v>0</v>
      </c>
    </row>
    <row r="608" spans="1:7" ht="21.75" customHeight="1">
      <c r="A608" s="29"/>
      <c r="E608" s="28"/>
      <c r="G608" s="25">
        <v>0</v>
      </c>
    </row>
    <row r="609" spans="1:7" ht="21.75" customHeight="1">
      <c r="A609" s="29"/>
      <c r="E609" s="28"/>
      <c r="G609" s="25">
        <v>0</v>
      </c>
    </row>
    <row r="610" spans="1:7" ht="21.75" customHeight="1">
      <c r="A610" s="29"/>
      <c r="E610" s="28"/>
      <c r="G610" s="25">
        <v>0</v>
      </c>
    </row>
    <row r="611" spans="1:7" ht="21.75" customHeight="1">
      <c r="A611" s="29"/>
      <c r="E611" s="28"/>
      <c r="G611" s="25">
        <v>0</v>
      </c>
    </row>
    <row r="612" spans="1:7" ht="21.75" customHeight="1">
      <c r="A612" s="29"/>
      <c r="E612" s="28"/>
      <c r="G612" s="25">
        <v>0</v>
      </c>
    </row>
    <row r="613" spans="1:7" ht="21.75" customHeight="1">
      <c r="A613" s="29"/>
      <c r="E613" s="28"/>
      <c r="G613" s="25">
        <v>0</v>
      </c>
    </row>
    <row r="614" spans="1:7" ht="21.75" customHeight="1">
      <c r="A614" s="29"/>
      <c r="E614" s="28"/>
      <c r="G614" s="25">
        <v>0</v>
      </c>
    </row>
    <row r="615" spans="1:7" ht="21.75" customHeight="1">
      <c r="A615" s="29"/>
      <c r="E615" s="28"/>
      <c r="G615" s="25">
        <v>0</v>
      </c>
    </row>
    <row r="616" spans="1:7" ht="21.75" customHeight="1">
      <c r="A616" s="29"/>
      <c r="E616" s="28"/>
      <c r="G616" s="25">
        <v>0</v>
      </c>
    </row>
    <row r="617" spans="1:7" ht="21.75" customHeight="1">
      <c r="A617" s="29"/>
      <c r="E617" s="28"/>
      <c r="G617" s="25">
        <v>0</v>
      </c>
    </row>
    <row r="618" spans="1:7" ht="21.75" customHeight="1">
      <c r="A618" s="29"/>
      <c r="E618" s="28"/>
      <c r="G618" s="25">
        <v>0</v>
      </c>
    </row>
    <row r="619" spans="1:7" ht="21.75" customHeight="1">
      <c r="A619" s="29"/>
      <c r="E619" s="28"/>
      <c r="G619" s="25">
        <v>0</v>
      </c>
    </row>
    <row r="620" spans="1:7" ht="21.75" customHeight="1">
      <c r="A620" s="29"/>
      <c r="E620" s="28"/>
      <c r="G620" s="25">
        <v>0</v>
      </c>
    </row>
    <row r="621" spans="1:7" ht="21.75" customHeight="1">
      <c r="A621" s="29"/>
      <c r="E621" s="28"/>
      <c r="G621" s="25">
        <v>0</v>
      </c>
    </row>
    <row r="622" spans="1:7" ht="21.75" customHeight="1">
      <c r="A622" s="29"/>
      <c r="E622" s="28"/>
      <c r="G622" s="25">
        <v>0</v>
      </c>
    </row>
    <row r="623" spans="1:7" ht="21.75" customHeight="1">
      <c r="A623" s="29"/>
      <c r="E623" s="28"/>
      <c r="G623" s="25">
        <v>0</v>
      </c>
    </row>
    <row r="624" spans="1:7" ht="21.75" customHeight="1">
      <c r="A624" s="29"/>
      <c r="E624" s="28"/>
      <c r="G624" s="25">
        <v>0</v>
      </c>
    </row>
    <row r="625" spans="1:7" ht="21.75" customHeight="1">
      <c r="A625" s="29"/>
      <c r="E625" s="28"/>
      <c r="G625" s="25">
        <v>0</v>
      </c>
    </row>
    <row r="626" spans="1:7" ht="21.75" customHeight="1">
      <c r="A626" s="29"/>
      <c r="E626" s="28"/>
      <c r="G626" s="25">
        <v>0</v>
      </c>
    </row>
    <row r="627" spans="1:7" ht="21.75" customHeight="1">
      <c r="A627" s="29"/>
      <c r="E627" s="28"/>
      <c r="G627" s="25">
        <v>0</v>
      </c>
    </row>
    <row r="628" spans="1:7" ht="21.75" customHeight="1">
      <c r="A628" s="29"/>
      <c r="E628" s="28"/>
      <c r="G628" s="25">
        <v>0</v>
      </c>
    </row>
    <row r="629" spans="1:7" ht="21.75" customHeight="1">
      <c r="A629" s="29"/>
      <c r="E629" s="28"/>
      <c r="G629" s="25">
        <v>0</v>
      </c>
    </row>
    <row r="630" spans="1:7" ht="21.75" customHeight="1">
      <c r="A630" s="29"/>
      <c r="E630" s="28"/>
      <c r="G630" s="25">
        <v>0</v>
      </c>
    </row>
    <row r="631" spans="1:7" ht="21.75" customHeight="1">
      <c r="A631" s="29"/>
      <c r="E631" s="28"/>
      <c r="G631" s="25">
        <v>0</v>
      </c>
    </row>
    <row r="632" spans="1:7" ht="21.75" customHeight="1">
      <c r="A632" s="29"/>
      <c r="E632" s="28"/>
      <c r="G632" s="25">
        <v>0</v>
      </c>
    </row>
    <row r="633" spans="1:7" ht="21.75" customHeight="1">
      <c r="A633" s="29"/>
      <c r="E633" s="28"/>
      <c r="G633" s="25">
        <v>0</v>
      </c>
    </row>
    <row r="634" spans="1:7" ht="21.75" customHeight="1">
      <c r="A634" s="29"/>
      <c r="E634" s="28"/>
      <c r="G634" s="25">
        <v>0</v>
      </c>
    </row>
    <row r="635" spans="1:7" ht="21.75" customHeight="1">
      <c r="A635" s="29"/>
      <c r="E635" s="28"/>
      <c r="G635" s="25">
        <v>0</v>
      </c>
    </row>
    <row r="636" spans="1:7" ht="21.75" customHeight="1">
      <c r="A636" s="29"/>
      <c r="E636" s="28"/>
      <c r="G636" s="25">
        <v>0</v>
      </c>
    </row>
    <row r="637" spans="1:7" ht="21.75" customHeight="1">
      <c r="A637" s="29"/>
      <c r="E637" s="28"/>
      <c r="G637" s="25">
        <v>0</v>
      </c>
    </row>
    <row r="638" spans="1:7" ht="21.75" customHeight="1">
      <c r="A638" s="29"/>
      <c r="E638" s="28"/>
      <c r="G638" s="25">
        <v>0</v>
      </c>
    </row>
    <row r="639" spans="1:7" ht="21.75" customHeight="1">
      <c r="A639" s="29"/>
      <c r="E639" s="28"/>
      <c r="G639" s="25">
        <v>0</v>
      </c>
    </row>
    <row r="640" spans="1:7" ht="21.75" customHeight="1">
      <c r="A640" s="29"/>
      <c r="E640" s="28"/>
      <c r="G640" s="25">
        <v>0</v>
      </c>
    </row>
    <row r="641" spans="1:7" ht="21.75" customHeight="1">
      <c r="A641" s="29"/>
      <c r="E641" s="28"/>
      <c r="G641" s="25">
        <v>0</v>
      </c>
    </row>
    <row r="642" spans="1:7" ht="21.75" customHeight="1">
      <c r="A642" s="29"/>
      <c r="E642" s="28"/>
      <c r="G642" s="25">
        <v>0</v>
      </c>
    </row>
    <row r="643" spans="1:7" ht="21.75" customHeight="1">
      <c r="A643" s="29"/>
      <c r="E643" s="28"/>
      <c r="G643" s="25">
        <v>0</v>
      </c>
    </row>
    <row r="644" spans="1:7" ht="21.75" customHeight="1">
      <c r="A644" s="29"/>
      <c r="E644" s="28"/>
      <c r="G644" s="25">
        <v>0</v>
      </c>
    </row>
    <row r="645" spans="1:7" ht="21.75" customHeight="1">
      <c r="A645" s="29"/>
      <c r="E645" s="28"/>
      <c r="G645" s="25">
        <v>0</v>
      </c>
    </row>
    <row r="646" spans="1:7" ht="21.75" customHeight="1">
      <c r="A646" s="29"/>
      <c r="E646" s="28"/>
      <c r="G646" s="25">
        <v>0</v>
      </c>
    </row>
    <row r="647" spans="1:7" ht="21.75" customHeight="1">
      <c r="A647" s="29"/>
      <c r="E647" s="28"/>
      <c r="G647" s="25">
        <v>0</v>
      </c>
    </row>
    <row r="648" spans="1:7" ht="21.75" customHeight="1">
      <c r="A648" s="29"/>
      <c r="E648" s="28"/>
      <c r="G648" s="25">
        <v>0</v>
      </c>
    </row>
    <row r="649" spans="1:7" ht="21.75" customHeight="1">
      <c r="A649" s="29"/>
      <c r="E649" s="28"/>
      <c r="G649" s="25">
        <v>0</v>
      </c>
    </row>
    <row r="650" spans="1:7" ht="21.75" customHeight="1">
      <c r="A650" s="29"/>
      <c r="E650" s="28"/>
      <c r="G650" s="25">
        <v>0</v>
      </c>
    </row>
    <row r="651" spans="1:7" ht="21.75" customHeight="1">
      <c r="A651" s="29"/>
      <c r="E651" s="28"/>
      <c r="G651" s="25">
        <v>0</v>
      </c>
    </row>
    <row r="652" spans="1:7" ht="21.75" customHeight="1">
      <c r="A652" s="29"/>
      <c r="E652" s="28"/>
      <c r="G652" s="25">
        <v>0</v>
      </c>
    </row>
    <row r="653" spans="1:7" ht="21.75" customHeight="1">
      <c r="A653" s="29"/>
      <c r="E653" s="28"/>
      <c r="G653" s="25">
        <v>0</v>
      </c>
    </row>
    <row r="654" spans="1:7" ht="21.75" customHeight="1">
      <c r="A654" s="29"/>
      <c r="E654" s="28"/>
      <c r="G654" s="25">
        <v>0</v>
      </c>
    </row>
    <row r="655" spans="1:7" ht="21.75" customHeight="1">
      <c r="A655" s="29"/>
      <c r="E655" s="28"/>
      <c r="G655" s="25">
        <v>0</v>
      </c>
    </row>
    <row r="656" spans="1:7" ht="21.75" customHeight="1">
      <c r="A656" s="29"/>
      <c r="E656" s="28"/>
      <c r="G656" s="25">
        <v>0</v>
      </c>
    </row>
    <row r="657" spans="1:7" ht="21.75" customHeight="1">
      <c r="A657" s="29"/>
      <c r="E657" s="28"/>
      <c r="G657" s="25">
        <v>0</v>
      </c>
    </row>
    <row r="658" spans="1:7" ht="21.75" customHeight="1">
      <c r="A658" s="29"/>
      <c r="E658" s="28"/>
      <c r="G658" s="25">
        <v>0</v>
      </c>
    </row>
    <row r="659" spans="1:7" ht="21.75" customHeight="1">
      <c r="A659" s="29"/>
      <c r="E659" s="28"/>
      <c r="G659" s="25">
        <v>0</v>
      </c>
    </row>
    <row r="660" spans="1:7" ht="21.75" customHeight="1">
      <c r="A660" s="29"/>
      <c r="E660" s="28"/>
      <c r="G660" s="25">
        <v>0</v>
      </c>
    </row>
    <row r="661" spans="1:7" ht="21.75" customHeight="1">
      <c r="A661" s="29"/>
      <c r="E661" s="28"/>
      <c r="G661" s="25">
        <v>0</v>
      </c>
    </row>
    <row r="662" spans="1:7" ht="21.75" customHeight="1">
      <c r="A662" s="29"/>
      <c r="E662" s="28"/>
      <c r="G662" s="25">
        <v>0</v>
      </c>
    </row>
    <row r="663" spans="1:7" ht="21.75" customHeight="1">
      <c r="A663" s="29"/>
      <c r="E663" s="28"/>
      <c r="G663" s="25">
        <v>0</v>
      </c>
    </row>
    <row r="664" spans="1:7" ht="21.75" customHeight="1">
      <c r="A664" s="29"/>
      <c r="E664" s="28"/>
      <c r="G664" s="25">
        <v>0</v>
      </c>
    </row>
    <row r="665" spans="1:7" ht="21.75" customHeight="1">
      <c r="A665" s="29"/>
      <c r="E665" s="28"/>
      <c r="G665" s="25">
        <v>0</v>
      </c>
    </row>
    <row r="666" spans="1:7" ht="21.75" customHeight="1">
      <c r="A666" s="29"/>
      <c r="E666" s="28"/>
      <c r="G666" s="25">
        <v>0</v>
      </c>
    </row>
    <row r="667" spans="1:7" ht="21.75" customHeight="1">
      <c r="A667" s="29"/>
      <c r="E667" s="28"/>
      <c r="G667" s="25">
        <v>0</v>
      </c>
    </row>
    <row r="668" spans="1:7" ht="21.75" customHeight="1">
      <c r="A668" s="29"/>
      <c r="E668" s="28"/>
      <c r="G668" s="25">
        <v>0</v>
      </c>
    </row>
    <row r="669" spans="1:7" ht="21.75" customHeight="1">
      <c r="A669" s="29"/>
      <c r="E669" s="28"/>
      <c r="G669" s="25">
        <v>0</v>
      </c>
    </row>
    <row r="670" spans="1:7" ht="21.75" customHeight="1">
      <c r="A670" s="29"/>
      <c r="E670" s="28"/>
      <c r="G670" s="25">
        <v>0</v>
      </c>
    </row>
    <row r="671" spans="1:7" ht="21.75" customHeight="1">
      <c r="A671" s="29"/>
      <c r="E671" s="28"/>
      <c r="G671" s="25">
        <v>0</v>
      </c>
    </row>
    <row r="672" spans="1:7" ht="21.75" customHeight="1">
      <c r="A672" s="29"/>
      <c r="E672" s="28"/>
      <c r="G672" s="25">
        <v>0</v>
      </c>
    </row>
    <row r="673" spans="1:7" ht="21.75" customHeight="1">
      <c r="A673" s="29"/>
      <c r="E673" s="28"/>
      <c r="G673" s="25">
        <v>0</v>
      </c>
    </row>
    <row r="674" spans="1:7" ht="21.75" customHeight="1">
      <c r="A674" s="29"/>
      <c r="E674" s="28"/>
      <c r="G674" s="25">
        <v>0</v>
      </c>
    </row>
    <row r="675" spans="1:7" ht="21.75" customHeight="1">
      <c r="A675" s="29"/>
      <c r="E675" s="28"/>
      <c r="G675" s="25">
        <v>0</v>
      </c>
    </row>
    <row r="676" spans="1:7" ht="21.75" customHeight="1">
      <c r="A676" s="29"/>
      <c r="E676" s="28"/>
      <c r="G676" s="25">
        <v>0</v>
      </c>
    </row>
    <row r="677" spans="1:7" ht="21.75" customHeight="1">
      <c r="A677" s="29"/>
      <c r="E677" s="28"/>
      <c r="G677" s="25">
        <v>0</v>
      </c>
    </row>
    <row r="678" spans="1:7" ht="21.75" customHeight="1">
      <c r="A678" s="29"/>
      <c r="E678" s="28"/>
      <c r="G678" s="25">
        <v>0</v>
      </c>
    </row>
    <row r="679" spans="1:7" ht="21.75" customHeight="1">
      <c r="A679" s="29"/>
      <c r="E679" s="28"/>
      <c r="G679" s="25">
        <v>0</v>
      </c>
    </row>
    <row r="680" spans="1:7" ht="21.75" customHeight="1">
      <c r="A680" s="29"/>
      <c r="E680" s="28"/>
      <c r="G680" s="25">
        <v>0</v>
      </c>
    </row>
    <row r="681" spans="1:7" ht="21.75" customHeight="1">
      <c r="A681" s="29"/>
      <c r="E681" s="28"/>
      <c r="G681" s="25">
        <v>0</v>
      </c>
    </row>
    <row r="682" spans="1:7" ht="21.75" customHeight="1">
      <c r="A682" s="29"/>
      <c r="E682" s="28"/>
      <c r="G682" s="25">
        <v>0</v>
      </c>
    </row>
    <row r="683" spans="1:7" ht="21.75" customHeight="1">
      <c r="A683" s="29"/>
      <c r="E683" s="28"/>
      <c r="G683" s="25">
        <v>0</v>
      </c>
    </row>
    <row r="684" spans="1:7" ht="21.75" customHeight="1">
      <c r="A684" s="29"/>
      <c r="E684" s="28"/>
      <c r="G684" s="25">
        <v>0</v>
      </c>
    </row>
    <row r="685" spans="1:7" ht="21.75" customHeight="1">
      <c r="A685" s="29"/>
      <c r="E685" s="28"/>
      <c r="G685" s="25">
        <v>0</v>
      </c>
    </row>
    <row r="686" spans="1:7" ht="21.75" customHeight="1">
      <c r="A686" s="29"/>
      <c r="E686" s="28"/>
      <c r="G686" s="25">
        <v>0</v>
      </c>
    </row>
    <row r="687" spans="1:7" ht="21.75" customHeight="1">
      <c r="A687" s="29"/>
      <c r="E687" s="28"/>
      <c r="G687" s="25">
        <v>0</v>
      </c>
    </row>
    <row r="688" spans="1:7" ht="21.75" customHeight="1">
      <c r="A688" s="29"/>
      <c r="E688" s="28"/>
      <c r="G688" s="25">
        <v>0</v>
      </c>
    </row>
    <row r="689" spans="1:7" ht="21.75" customHeight="1">
      <c r="A689" s="29"/>
      <c r="E689" s="28"/>
      <c r="G689" s="25">
        <v>0</v>
      </c>
    </row>
    <row r="690" spans="1:7" ht="21.75" customHeight="1">
      <c r="A690" s="29"/>
      <c r="E690" s="28"/>
      <c r="G690" s="25">
        <v>0</v>
      </c>
    </row>
    <row r="691" spans="1:7" ht="21.75" customHeight="1">
      <c r="A691" s="29"/>
      <c r="E691" s="28"/>
      <c r="G691" s="25">
        <v>0</v>
      </c>
    </row>
    <row r="692" spans="1:7" ht="21.75" customHeight="1">
      <c r="A692" s="29"/>
      <c r="E692" s="28"/>
      <c r="G692" s="25">
        <v>0</v>
      </c>
    </row>
    <row r="693" spans="1:7" ht="21.75" customHeight="1">
      <c r="A693" s="29"/>
      <c r="E693" s="28"/>
      <c r="G693" s="25">
        <v>0</v>
      </c>
    </row>
    <row r="694" spans="1:7" ht="21.75" customHeight="1">
      <c r="A694" s="29"/>
      <c r="E694" s="28"/>
      <c r="G694" s="25">
        <v>0</v>
      </c>
    </row>
    <row r="695" spans="1:7" ht="21.75" customHeight="1">
      <c r="A695" s="29"/>
      <c r="E695" s="28"/>
      <c r="G695" s="25">
        <v>0</v>
      </c>
    </row>
    <row r="696" spans="1:7" ht="21.75" customHeight="1">
      <c r="A696" s="29"/>
      <c r="E696" s="28"/>
      <c r="G696" s="25">
        <v>0</v>
      </c>
    </row>
    <row r="697" spans="1:7" ht="21.75" customHeight="1">
      <c r="A697" s="29"/>
      <c r="E697" s="28"/>
      <c r="G697" s="25">
        <v>0</v>
      </c>
    </row>
    <row r="698" spans="1:7" ht="21.75" customHeight="1">
      <c r="A698" s="29"/>
      <c r="E698" s="28"/>
      <c r="G698" s="25">
        <v>0</v>
      </c>
    </row>
    <row r="699" spans="1:7" ht="21.75" customHeight="1">
      <c r="A699" s="29"/>
      <c r="E699" s="28"/>
      <c r="G699" s="25">
        <v>0</v>
      </c>
    </row>
    <row r="700" spans="1:7" ht="21.75" customHeight="1">
      <c r="A700" s="29"/>
      <c r="E700" s="28"/>
      <c r="G700" s="25">
        <v>0</v>
      </c>
    </row>
    <row r="701" spans="1:7" ht="21.75" customHeight="1">
      <c r="A701" s="29"/>
      <c r="E701" s="28"/>
      <c r="G701" s="25">
        <v>0</v>
      </c>
    </row>
    <row r="702" spans="1:7" ht="21.75" customHeight="1">
      <c r="A702" s="29"/>
      <c r="E702" s="28"/>
      <c r="G702" s="25">
        <v>0</v>
      </c>
    </row>
    <row r="703" spans="1:7" ht="21.75" customHeight="1">
      <c r="A703" s="29"/>
      <c r="E703" s="28"/>
      <c r="G703" s="25">
        <v>0</v>
      </c>
    </row>
    <row r="704" spans="1:7" ht="21.75" customHeight="1">
      <c r="A704" s="29"/>
      <c r="E704" s="28"/>
      <c r="G704" s="25">
        <v>0</v>
      </c>
    </row>
    <row r="705" spans="1:7" ht="21.75" customHeight="1">
      <c r="A705" s="29"/>
      <c r="E705" s="28"/>
      <c r="G705" s="25">
        <v>0</v>
      </c>
    </row>
    <row r="706" spans="1:7" ht="21.75" customHeight="1">
      <c r="A706" s="29"/>
      <c r="E706" s="28"/>
      <c r="G706" s="25">
        <v>0</v>
      </c>
    </row>
    <row r="707" spans="1:7" ht="21.75" customHeight="1">
      <c r="A707" s="29"/>
      <c r="E707" s="28"/>
      <c r="G707" s="25">
        <v>0</v>
      </c>
    </row>
    <row r="708" spans="1:7" ht="21.75" customHeight="1">
      <c r="A708" s="29"/>
      <c r="E708" s="28"/>
      <c r="G708" s="25">
        <v>0</v>
      </c>
    </row>
    <row r="709" spans="1:7" ht="21.75" customHeight="1">
      <c r="A709" s="29"/>
      <c r="E709" s="28"/>
      <c r="G709" s="25">
        <v>0</v>
      </c>
    </row>
    <row r="710" spans="1:7" ht="21.75" customHeight="1">
      <c r="A710" s="29"/>
      <c r="E710" s="28"/>
      <c r="G710" s="25">
        <v>0</v>
      </c>
    </row>
    <row r="711" spans="1:7" ht="21.75" customHeight="1">
      <c r="A711" s="29"/>
      <c r="E711" s="28"/>
      <c r="G711" s="25">
        <v>0</v>
      </c>
    </row>
    <row r="712" spans="1:7" ht="21.75" customHeight="1">
      <c r="A712" s="29"/>
      <c r="E712" s="28"/>
      <c r="G712" s="25">
        <v>0</v>
      </c>
    </row>
    <row r="713" spans="1:7" ht="21.75" customHeight="1">
      <c r="A713" s="29"/>
      <c r="E713" s="28"/>
      <c r="G713" s="25">
        <v>0</v>
      </c>
    </row>
    <row r="714" spans="1:7" ht="21.75" customHeight="1">
      <c r="A714" s="29"/>
      <c r="E714" s="28"/>
      <c r="G714" s="25">
        <v>0</v>
      </c>
    </row>
    <row r="715" spans="1:7" ht="21.75" customHeight="1">
      <c r="A715" s="29"/>
      <c r="E715" s="28"/>
      <c r="G715" s="25">
        <v>0</v>
      </c>
    </row>
    <row r="716" spans="1:7" ht="21.75" customHeight="1">
      <c r="A716" s="29"/>
      <c r="E716" s="28"/>
      <c r="G716" s="25">
        <v>0</v>
      </c>
    </row>
    <row r="717" spans="1:7" ht="21.75" customHeight="1">
      <c r="A717" s="29"/>
      <c r="E717" s="28"/>
      <c r="G717" s="25">
        <v>0</v>
      </c>
    </row>
    <row r="718" spans="1:7" ht="21.75" customHeight="1">
      <c r="A718" s="29"/>
      <c r="E718" s="28"/>
      <c r="G718" s="25">
        <v>0</v>
      </c>
    </row>
    <row r="719" spans="1:7" ht="21.75" customHeight="1">
      <c r="A719" s="29"/>
      <c r="E719" s="28"/>
      <c r="G719" s="25">
        <v>0</v>
      </c>
    </row>
    <row r="720" spans="1:7" ht="21.75" customHeight="1">
      <c r="A720" s="29"/>
      <c r="E720" s="28"/>
      <c r="G720" s="25">
        <v>0</v>
      </c>
    </row>
    <row r="721" spans="1:7" ht="21.75" customHeight="1">
      <c r="A721" s="29"/>
      <c r="E721" s="28"/>
      <c r="G721" s="25">
        <v>0</v>
      </c>
    </row>
    <row r="722" spans="1:7" ht="21.75" customHeight="1">
      <c r="A722" s="29"/>
      <c r="E722" s="28"/>
      <c r="G722" s="25">
        <v>0</v>
      </c>
    </row>
    <row r="723" spans="1:7" ht="21.75" customHeight="1">
      <c r="A723" s="29"/>
      <c r="E723" s="28"/>
      <c r="G723" s="25">
        <v>0</v>
      </c>
    </row>
    <row r="724" spans="1:7" ht="21.75" customHeight="1">
      <c r="A724" s="29"/>
      <c r="E724" s="28"/>
      <c r="G724" s="25">
        <v>0</v>
      </c>
    </row>
    <row r="725" spans="1:7" ht="21.75" customHeight="1">
      <c r="A725" s="29"/>
      <c r="E725" s="28"/>
      <c r="G725" s="25">
        <v>0</v>
      </c>
    </row>
    <row r="726" spans="1:7" ht="21.75" customHeight="1">
      <c r="A726" s="29"/>
      <c r="E726" s="28"/>
      <c r="G726" s="25">
        <v>0</v>
      </c>
    </row>
    <row r="727" spans="1:7" ht="21.75" customHeight="1">
      <c r="A727" s="29"/>
      <c r="E727" s="28"/>
      <c r="G727" s="25">
        <v>0</v>
      </c>
    </row>
    <row r="728" spans="1:7" ht="21.75" customHeight="1">
      <c r="A728" s="29"/>
      <c r="E728" s="28"/>
      <c r="G728" s="25">
        <v>0</v>
      </c>
    </row>
    <row r="729" spans="1:7" ht="21.75" customHeight="1">
      <c r="A729" s="29"/>
      <c r="E729" s="28"/>
      <c r="G729" s="25">
        <v>0</v>
      </c>
    </row>
    <row r="730" spans="1:7" ht="21.75" customHeight="1">
      <c r="A730" s="29"/>
      <c r="E730" s="28"/>
      <c r="G730" s="25">
        <v>0</v>
      </c>
    </row>
    <row r="731" spans="1:7" ht="21.75" customHeight="1">
      <c r="A731" s="29"/>
      <c r="E731" s="28"/>
      <c r="G731" s="25">
        <v>0</v>
      </c>
    </row>
    <row r="732" spans="1:7" ht="21.75" customHeight="1">
      <c r="A732" s="29"/>
      <c r="E732" s="28"/>
      <c r="G732" s="25">
        <v>0</v>
      </c>
    </row>
    <row r="733" spans="1:7" ht="21.75" customHeight="1">
      <c r="A733" s="29"/>
      <c r="E733" s="28"/>
      <c r="G733" s="25">
        <v>0</v>
      </c>
    </row>
    <row r="734" spans="1:7" ht="21.75" customHeight="1">
      <c r="A734" s="29"/>
      <c r="E734" s="28"/>
      <c r="G734" s="25">
        <v>0</v>
      </c>
    </row>
    <row r="735" spans="1:7" ht="21.75" customHeight="1">
      <c r="A735" s="29"/>
      <c r="E735" s="28"/>
      <c r="G735" s="25">
        <v>0</v>
      </c>
    </row>
    <row r="736" spans="1:7" ht="21.75" customHeight="1">
      <c r="A736" s="29"/>
      <c r="E736" s="28"/>
      <c r="G736" s="25">
        <v>0</v>
      </c>
    </row>
    <row r="737" spans="1:7" ht="21.75" customHeight="1">
      <c r="A737" s="29"/>
      <c r="E737" s="28"/>
      <c r="G737" s="25">
        <v>0</v>
      </c>
    </row>
    <row r="738" spans="1:7" ht="21.75" customHeight="1">
      <c r="A738" s="29"/>
      <c r="E738" s="28"/>
      <c r="G738" s="25">
        <v>0</v>
      </c>
    </row>
    <row r="739" spans="1:7" ht="21.75" customHeight="1">
      <c r="A739" s="29"/>
      <c r="E739" s="28"/>
      <c r="G739" s="25">
        <v>0</v>
      </c>
    </row>
    <row r="740" spans="1:7" ht="21.75" customHeight="1">
      <c r="A740" s="29"/>
      <c r="E740" s="28"/>
      <c r="G740" s="25">
        <v>0</v>
      </c>
    </row>
    <row r="741" spans="1:7" ht="21.75" customHeight="1">
      <c r="A741" s="29"/>
      <c r="E741" s="28"/>
      <c r="G741" s="25">
        <v>0</v>
      </c>
    </row>
    <row r="742" spans="1:7" ht="21.75" customHeight="1">
      <c r="A742" s="29"/>
      <c r="E742" s="28"/>
      <c r="G742" s="25">
        <v>0</v>
      </c>
    </row>
    <row r="743" spans="1:7" ht="21.75" customHeight="1">
      <c r="A743" s="29"/>
      <c r="E743" s="28"/>
      <c r="G743" s="25">
        <v>0</v>
      </c>
    </row>
    <row r="744" spans="1:7" ht="21.75" customHeight="1">
      <c r="A744" s="29"/>
      <c r="E744" s="28"/>
      <c r="G744" s="25">
        <v>0</v>
      </c>
    </row>
    <row r="745" spans="1:7" ht="21.75" customHeight="1">
      <c r="A745" s="29"/>
      <c r="E745" s="28"/>
      <c r="G745" s="25">
        <v>0</v>
      </c>
    </row>
    <row r="746" spans="1:7" ht="21.75" customHeight="1">
      <c r="A746" s="29"/>
      <c r="E746" s="28"/>
      <c r="G746" s="25">
        <v>0</v>
      </c>
    </row>
    <row r="747" spans="1:7" ht="21.75" customHeight="1">
      <c r="A747" s="29"/>
      <c r="E747" s="28"/>
      <c r="G747" s="25">
        <v>0</v>
      </c>
    </row>
    <row r="748" spans="1:7" ht="21.75" customHeight="1">
      <c r="A748" s="29"/>
      <c r="E748" s="28"/>
      <c r="G748" s="25">
        <v>0</v>
      </c>
    </row>
    <row r="749" spans="1:7" ht="21.75" customHeight="1">
      <c r="A749" s="29"/>
      <c r="E749" s="28"/>
      <c r="G749" s="25">
        <v>0</v>
      </c>
    </row>
    <row r="750" spans="1:7" ht="21.75" customHeight="1">
      <c r="A750" s="29"/>
      <c r="E750" s="28"/>
      <c r="G750" s="25">
        <v>0</v>
      </c>
    </row>
    <row r="751" spans="1:7" ht="21.75" customHeight="1">
      <c r="A751" s="29"/>
      <c r="E751" s="28"/>
      <c r="G751" s="25">
        <v>0</v>
      </c>
    </row>
    <row r="752" spans="1:7" ht="21.75" customHeight="1">
      <c r="A752" s="29"/>
      <c r="E752" s="28"/>
      <c r="G752" s="25">
        <v>0</v>
      </c>
    </row>
    <row r="753" spans="1:7" ht="21.75" customHeight="1">
      <c r="A753" s="29"/>
      <c r="E753" s="28"/>
      <c r="G753" s="25">
        <v>0</v>
      </c>
    </row>
    <row r="754" spans="1:7" ht="21.75" customHeight="1">
      <c r="A754" s="29"/>
      <c r="E754" s="28"/>
      <c r="G754" s="25">
        <v>0</v>
      </c>
    </row>
    <row r="755" spans="1:7" ht="21.75" customHeight="1">
      <c r="A755" s="29"/>
      <c r="E755" s="28"/>
      <c r="G755" s="25">
        <v>0</v>
      </c>
    </row>
    <row r="756" spans="1:7" ht="21.75" customHeight="1">
      <c r="A756" s="29"/>
      <c r="E756" s="28"/>
      <c r="G756" s="25">
        <v>0</v>
      </c>
    </row>
    <row r="757" spans="1:7" ht="21.75" customHeight="1">
      <c r="A757" s="29"/>
      <c r="E757" s="28"/>
      <c r="G757" s="25">
        <v>0</v>
      </c>
    </row>
    <row r="758" spans="1:7" ht="21.75" customHeight="1">
      <c r="A758" s="29"/>
      <c r="E758" s="28"/>
      <c r="G758" s="25">
        <v>0</v>
      </c>
    </row>
    <row r="759" spans="1:7" ht="21.75" customHeight="1">
      <c r="A759" s="29"/>
      <c r="E759" s="28"/>
      <c r="G759" s="25">
        <v>0</v>
      </c>
    </row>
    <row r="760" spans="1:7" ht="21.75" customHeight="1">
      <c r="A760" s="29"/>
      <c r="E760" s="28"/>
      <c r="G760" s="25">
        <v>0</v>
      </c>
    </row>
    <row r="761" spans="1:7" ht="21.75" customHeight="1">
      <c r="A761" s="29"/>
      <c r="E761" s="28"/>
      <c r="G761" s="25">
        <v>0</v>
      </c>
    </row>
    <row r="762" spans="1:7" ht="21.75" customHeight="1">
      <c r="A762" s="29"/>
      <c r="E762" s="28"/>
      <c r="G762" s="25">
        <v>0</v>
      </c>
    </row>
    <row r="763" spans="1:7" ht="21.75" customHeight="1">
      <c r="A763" s="29"/>
      <c r="E763" s="28"/>
      <c r="G763" s="25">
        <v>0</v>
      </c>
    </row>
    <row r="764" spans="1:7" ht="21.75" customHeight="1">
      <c r="A764" s="29"/>
      <c r="E764" s="28"/>
      <c r="G764" s="25">
        <v>0</v>
      </c>
    </row>
    <row r="765" spans="1:7" ht="21.75" customHeight="1">
      <c r="A765" s="29"/>
      <c r="E765" s="28"/>
      <c r="G765" s="25">
        <v>0</v>
      </c>
    </row>
    <row r="766" spans="1:7" ht="21.75" customHeight="1">
      <c r="A766" s="29"/>
      <c r="E766" s="28"/>
      <c r="G766" s="25">
        <v>0</v>
      </c>
    </row>
    <row r="767" spans="1:7" ht="21.75" customHeight="1">
      <c r="A767" s="29"/>
      <c r="E767" s="28"/>
      <c r="G767" s="25">
        <v>0</v>
      </c>
    </row>
    <row r="768" spans="1:7" ht="21.75" customHeight="1">
      <c r="A768" s="29"/>
      <c r="E768" s="28"/>
      <c r="G768" s="25">
        <v>0</v>
      </c>
    </row>
    <row r="769" spans="1:7" ht="21.75" customHeight="1">
      <c r="A769" s="29"/>
      <c r="E769" s="28"/>
      <c r="G769" s="25">
        <v>0</v>
      </c>
    </row>
    <row r="770" spans="1:7" ht="21.75" customHeight="1">
      <c r="A770" s="29"/>
      <c r="E770" s="28"/>
      <c r="G770" s="25">
        <v>0</v>
      </c>
    </row>
    <row r="771" spans="1:7" ht="21.75" customHeight="1">
      <c r="A771" s="29"/>
      <c r="E771" s="28"/>
      <c r="G771" s="25">
        <v>0</v>
      </c>
    </row>
    <row r="772" spans="1:7" ht="21.75" customHeight="1">
      <c r="A772" s="29"/>
      <c r="E772" s="28"/>
      <c r="G772" s="25">
        <v>0</v>
      </c>
    </row>
    <row r="773" spans="1:7" ht="21.75" customHeight="1">
      <c r="A773" s="29"/>
      <c r="E773" s="28"/>
      <c r="G773" s="25">
        <v>0</v>
      </c>
    </row>
    <row r="774" spans="1:7" ht="21.75" customHeight="1">
      <c r="A774" s="29"/>
      <c r="E774" s="28"/>
      <c r="G774" s="25">
        <v>0</v>
      </c>
    </row>
    <row r="775" spans="1:7" ht="21.75" customHeight="1">
      <c r="A775" s="29"/>
      <c r="E775" s="28"/>
      <c r="G775" s="25">
        <v>0</v>
      </c>
    </row>
    <row r="776" spans="1:7" ht="21.75" customHeight="1">
      <c r="A776" s="29"/>
      <c r="E776" s="28"/>
      <c r="G776" s="25">
        <v>0</v>
      </c>
    </row>
    <row r="777" spans="1:7" ht="21.75" customHeight="1">
      <c r="A777" s="29"/>
      <c r="E777" s="28"/>
      <c r="G777" s="25">
        <v>0</v>
      </c>
    </row>
    <row r="778" spans="1:7" ht="21.75" customHeight="1">
      <c r="A778" s="29"/>
      <c r="E778" s="28"/>
      <c r="G778" s="25">
        <v>0</v>
      </c>
    </row>
    <row r="779" spans="1:7" ht="21.75" customHeight="1">
      <c r="A779" s="29"/>
      <c r="E779" s="28"/>
      <c r="G779" s="25">
        <v>0</v>
      </c>
    </row>
    <row r="780" spans="1:7" ht="21.75" customHeight="1">
      <c r="A780" s="29"/>
      <c r="E780" s="28"/>
      <c r="G780" s="25">
        <v>0</v>
      </c>
    </row>
    <row r="781" spans="1:7" ht="21.75" customHeight="1">
      <c r="A781" s="29"/>
      <c r="E781" s="28"/>
      <c r="G781" s="25">
        <v>0</v>
      </c>
    </row>
    <row r="782" spans="1:7" ht="21.75" customHeight="1">
      <c r="A782" s="29"/>
      <c r="E782" s="28"/>
      <c r="G782" s="25">
        <v>0</v>
      </c>
    </row>
    <row r="783" spans="1:7" ht="21.75" customHeight="1">
      <c r="A783" s="29"/>
      <c r="E783" s="28"/>
      <c r="G783" s="25">
        <v>0</v>
      </c>
    </row>
    <row r="784" spans="1:7" ht="21.75" customHeight="1">
      <c r="A784" s="29"/>
      <c r="E784" s="28"/>
      <c r="G784" s="25">
        <v>0</v>
      </c>
    </row>
    <row r="785" spans="1:7" ht="21.75" customHeight="1">
      <c r="A785" s="29"/>
      <c r="E785" s="28"/>
      <c r="G785" s="25">
        <v>0</v>
      </c>
    </row>
    <row r="786" spans="1:7" ht="21.75" customHeight="1">
      <c r="A786" s="29"/>
      <c r="E786" s="28"/>
      <c r="G786" s="25">
        <v>0</v>
      </c>
    </row>
    <row r="787" spans="1:7" ht="21.75" customHeight="1">
      <c r="A787" s="29"/>
      <c r="E787" s="28"/>
      <c r="G787" s="25">
        <v>0</v>
      </c>
    </row>
    <row r="788" spans="1:7" ht="21.75" customHeight="1">
      <c r="A788" s="29"/>
      <c r="E788" s="28"/>
      <c r="G788" s="25">
        <v>0</v>
      </c>
    </row>
    <row r="789" spans="1:7" ht="21.75" customHeight="1">
      <c r="A789" s="29"/>
      <c r="E789" s="28"/>
      <c r="G789" s="25">
        <v>0</v>
      </c>
    </row>
    <row r="790" spans="1:7" ht="21.75" customHeight="1">
      <c r="A790" s="29"/>
      <c r="E790" s="28"/>
      <c r="G790" s="25">
        <v>0</v>
      </c>
    </row>
    <row r="791" spans="1:7" ht="21.75" customHeight="1">
      <c r="A791" s="29"/>
      <c r="E791" s="28"/>
      <c r="G791" s="25">
        <v>0</v>
      </c>
    </row>
    <row r="792" spans="1:7" ht="21.75" customHeight="1">
      <c r="A792" s="29"/>
      <c r="E792" s="28"/>
      <c r="G792" s="25">
        <v>0</v>
      </c>
    </row>
    <row r="793" spans="1:7" ht="21.75" customHeight="1">
      <c r="A793" s="29"/>
      <c r="E793" s="28"/>
      <c r="G793" s="25">
        <v>0</v>
      </c>
    </row>
    <row r="794" spans="1:7" ht="21.75" customHeight="1">
      <c r="A794" s="29"/>
      <c r="E794" s="28"/>
      <c r="G794" s="25">
        <v>0</v>
      </c>
    </row>
    <row r="795" spans="1:7" ht="21.75" customHeight="1">
      <c r="A795" s="29"/>
      <c r="E795" s="28"/>
      <c r="G795" s="25">
        <v>0</v>
      </c>
    </row>
    <row r="796" spans="1:7" ht="21.75" customHeight="1">
      <c r="A796" s="29"/>
      <c r="E796" s="28"/>
      <c r="G796" s="25">
        <v>0</v>
      </c>
    </row>
    <row r="797" spans="1:7" ht="21.75" customHeight="1">
      <c r="A797" s="29"/>
      <c r="E797" s="28"/>
      <c r="G797" s="25">
        <v>0</v>
      </c>
    </row>
    <row r="798" spans="1:7" ht="21.75" customHeight="1">
      <c r="A798" s="29"/>
      <c r="E798" s="28"/>
      <c r="G798" s="25">
        <v>0</v>
      </c>
    </row>
    <row r="799" spans="1:7" ht="21.75" customHeight="1">
      <c r="A799" s="29"/>
      <c r="E799" s="28"/>
      <c r="G799" s="25">
        <v>0</v>
      </c>
    </row>
    <row r="800" spans="1:7" ht="21.75" customHeight="1">
      <c r="A800" s="29"/>
      <c r="E800" s="28"/>
      <c r="G800" s="25">
        <v>0</v>
      </c>
    </row>
    <row r="801" spans="1:7" ht="21.75" customHeight="1">
      <c r="A801" s="29"/>
      <c r="E801" s="28"/>
      <c r="G801" s="25">
        <v>0</v>
      </c>
    </row>
    <row r="802" spans="1:7" ht="21.75" customHeight="1">
      <c r="A802" s="29"/>
      <c r="E802" s="28"/>
      <c r="G802" s="25">
        <v>0</v>
      </c>
    </row>
    <row r="803" spans="1:7" ht="21.75" customHeight="1">
      <c r="A803" s="29"/>
      <c r="E803" s="28"/>
      <c r="G803" s="25">
        <v>0</v>
      </c>
    </row>
    <row r="804" spans="1:7" ht="21.75" customHeight="1">
      <c r="A804" s="29"/>
      <c r="E804" s="28"/>
      <c r="G804" s="25">
        <v>0</v>
      </c>
    </row>
    <row r="805" spans="1:7" ht="21.75" customHeight="1">
      <c r="A805" s="29"/>
      <c r="E805" s="28"/>
      <c r="G805" s="25">
        <v>0</v>
      </c>
    </row>
    <row r="806" spans="1:7" ht="21.75" customHeight="1">
      <c r="A806" s="29"/>
      <c r="E806" s="28"/>
      <c r="G806" s="25">
        <v>0</v>
      </c>
    </row>
    <row r="807" spans="1:7" ht="21.75" customHeight="1">
      <c r="A807" s="29"/>
      <c r="E807" s="28"/>
      <c r="G807" s="25">
        <v>0</v>
      </c>
    </row>
    <row r="808" spans="1:7" ht="21.75" customHeight="1">
      <c r="A808" s="29"/>
      <c r="E808" s="28"/>
      <c r="G808" s="25">
        <v>0</v>
      </c>
    </row>
    <row r="809" spans="1:7" ht="21.75" customHeight="1">
      <c r="A809" s="29"/>
      <c r="E809" s="28"/>
      <c r="G809" s="25">
        <v>0</v>
      </c>
    </row>
    <row r="810" spans="1:7" ht="21.75" customHeight="1">
      <c r="A810" s="29"/>
      <c r="E810" s="28"/>
      <c r="G810" s="25">
        <v>0</v>
      </c>
    </row>
    <row r="811" spans="1:7" ht="21.75" customHeight="1">
      <c r="A811" s="29"/>
      <c r="E811" s="28"/>
      <c r="G811" s="25">
        <v>0</v>
      </c>
    </row>
    <row r="812" spans="1:7" ht="21.75" customHeight="1">
      <c r="A812" s="29"/>
      <c r="E812" s="28"/>
      <c r="G812" s="25">
        <v>0</v>
      </c>
    </row>
    <row r="813" spans="1:7" ht="21.75" customHeight="1">
      <c r="A813" s="29"/>
      <c r="E813" s="28"/>
      <c r="G813" s="25">
        <v>0</v>
      </c>
    </row>
    <row r="814" spans="1:7" ht="21.75" customHeight="1">
      <c r="A814" s="29"/>
      <c r="E814" s="28"/>
      <c r="G814" s="25">
        <v>0</v>
      </c>
    </row>
    <row r="815" spans="1:7" ht="21.75" customHeight="1">
      <c r="A815" s="29"/>
      <c r="E815" s="28"/>
      <c r="G815" s="25">
        <v>0</v>
      </c>
    </row>
    <row r="816" spans="1:7" ht="21.75" customHeight="1">
      <c r="A816" s="29"/>
      <c r="E816" s="28"/>
      <c r="G816" s="25">
        <v>0</v>
      </c>
    </row>
    <row r="817" spans="1:7" ht="21.75" customHeight="1">
      <c r="A817" s="29"/>
      <c r="E817" s="28"/>
      <c r="G817" s="25">
        <v>0</v>
      </c>
    </row>
    <row r="818" spans="1:7" ht="21.75" customHeight="1">
      <c r="A818" s="29"/>
      <c r="E818" s="28"/>
      <c r="G818" s="25">
        <v>0</v>
      </c>
    </row>
    <row r="819" spans="1:7" ht="21.75" customHeight="1">
      <c r="A819" s="29"/>
      <c r="E819" s="28"/>
      <c r="G819" s="25">
        <v>0</v>
      </c>
    </row>
    <row r="820" spans="1:7" ht="21.75" customHeight="1">
      <c r="A820" s="29"/>
      <c r="E820" s="28"/>
      <c r="G820" s="25">
        <v>0</v>
      </c>
    </row>
    <row r="821" spans="1:7" ht="21.75" customHeight="1">
      <c r="A821" s="29"/>
      <c r="E821" s="28"/>
      <c r="G821" s="25">
        <v>0</v>
      </c>
    </row>
    <row r="822" spans="1:7" ht="21.75" customHeight="1">
      <c r="A822" s="29"/>
      <c r="E822" s="28"/>
      <c r="G822" s="25">
        <v>0</v>
      </c>
    </row>
    <row r="823" spans="1:7" ht="21.75" customHeight="1">
      <c r="A823" s="29"/>
      <c r="E823" s="28"/>
      <c r="G823" s="25">
        <v>0</v>
      </c>
    </row>
    <row r="824" spans="1:7" ht="21.75" customHeight="1">
      <c r="A824" s="29"/>
      <c r="E824" s="28"/>
      <c r="G824" s="25">
        <v>0</v>
      </c>
    </row>
    <row r="825" spans="1:7" ht="21.75" customHeight="1">
      <c r="A825" s="29"/>
      <c r="E825" s="28"/>
      <c r="G825" s="25">
        <v>0</v>
      </c>
    </row>
    <row r="826" spans="1:7" ht="21.75" customHeight="1">
      <c r="A826" s="29"/>
      <c r="E826" s="28"/>
      <c r="G826" s="25">
        <v>0</v>
      </c>
    </row>
    <row r="827" spans="1:7" ht="21.75" customHeight="1">
      <c r="A827" s="29"/>
      <c r="E827" s="28"/>
      <c r="G827" s="25">
        <v>0</v>
      </c>
    </row>
    <row r="828" spans="1:7" ht="21.75" customHeight="1">
      <c r="A828" s="29"/>
      <c r="E828" s="28"/>
      <c r="G828" s="25">
        <v>0</v>
      </c>
    </row>
    <row r="829" spans="1:7" ht="21.75" customHeight="1">
      <c r="A829" s="29"/>
      <c r="E829" s="28"/>
      <c r="G829" s="25">
        <v>0</v>
      </c>
    </row>
    <row r="830" spans="1:7" ht="21.75" customHeight="1">
      <c r="A830" s="29"/>
      <c r="E830" s="28"/>
      <c r="G830" s="25">
        <v>0</v>
      </c>
    </row>
    <row r="831" spans="1:7" ht="21.75" customHeight="1">
      <c r="A831" s="29"/>
      <c r="E831" s="28"/>
      <c r="G831" s="25">
        <v>0</v>
      </c>
    </row>
    <row r="832" spans="1:7" ht="21.75" customHeight="1">
      <c r="A832" s="29"/>
      <c r="E832" s="28"/>
      <c r="G832" s="25">
        <v>0</v>
      </c>
    </row>
    <row r="833" spans="1:7" ht="21.75" customHeight="1">
      <c r="A833" s="29"/>
      <c r="E833" s="28"/>
      <c r="G833" s="25">
        <v>0</v>
      </c>
    </row>
    <row r="834" spans="1:7" ht="21.75" customHeight="1">
      <c r="A834" s="29"/>
      <c r="E834" s="28"/>
      <c r="G834" s="25">
        <v>0</v>
      </c>
    </row>
    <row r="835" spans="1:7" ht="21.75" customHeight="1">
      <c r="A835" s="29"/>
      <c r="E835" s="28"/>
      <c r="G835" s="25">
        <v>0</v>
      </c>
    </row>
    <row r="836" spans="1:7" ht="21.75" customHeight="1">
      <c r="A836" s="29"/>
      <c r="E836" s="28"/>
      <c r="G836" s="25">
        <v>0</v>
      </c>
    </row>
    <row r="837" spans="1:7" ht="21.75" customHeight="1">
      <c r="A837" s="29"/>
      <c r="E837" s="28"/>
      <c r="G837" s="25">
        <v>0</v>
      </c>
    </row>
    <row r="838" spans="1:7" ht="21.75" customHeight="1">
      <c r="A838" s="29"/>
      <c r="E838" s="28"/>
      <c r="G838" s="25">
        <v>0</v>
      </c>
    </row>
    <row r="839" spans="1:7" ht="21.75" customHeight="1">
      <c r="A839" s="29"/>
      <c r="E839" s="28"/>
      <c r="G839" s="25">
        <v>0</v>
      </c>
    </row>
    <row r="840" spans="1:7" ht="21.75" customHeight="1">
      <c r="A840" s="29"/>
      <c r="E840" s="28"/>
      <c r="G840" s="25">
        <v>0</v>
      </c>
    </row>
    <row r="841" spans="1:7" ht="21.75" customHeight="1">
      <c r="A841" s="29"/>
      <c r="E841" s="28"/>
      <c r="G841" s="25">
        <v>0</v>
      </c>
    </row>
    <row r="842" spans="1:7" ht="21.75" customHeight="1">
      <c r="A842" s="29"/>
      <c r="E842" s="28"/>
      <c r="G842" s="25">
        <v>0</v>
      </c>
    </row>
    <row r="843" spans="1:7" ht="21.75" customHeight="1">
      <c r="A843" s="29"/>
      <c r="E843" s="28"/>
      <c r="G843" s="25">
        <v>0</v>
      </c>
    </row>
    <row r="844" spans="1:7" ht="21.75" customHeight="1">
      <c r="A844" s="29"/>
      <c r="E844" s="28"/>
      <c r="G844" s="25">
        <v>0</v>
      </c>
    </row>
    <row r="845" spans="1:7" ht="21.75" customHeight="1">
      <c r="A845" s="29"/>
      <c r="E845" s="28"/>
      <c r="G845" s="25">
        <v>0</v>
      </c>
    </row>
    <row r="846" spans="1:7" ht="21.75" customHeight="1">
      <c r="A846" s="29"/>
      <c r="E846" s="28"/>
      <c r="G846" s="25">
        <v>0</v>
      </c>
    </row>
    <row r="847" spans="1:7" ht="21.75" customHeight="1">
      <c r="A847" s="29"/>
      <c r="E847" s="28"/>
      <c r="G847" s="25">
        <v>0</v>
      </c>
    </row>
    <row r="848" spans="1:7" ht="21.75" customHeight="1">
      <c r="A848" s="29"/>
      <c r="E848" s="28"/>
      <c r="G848" s="25">
        <v>0</v>
      </c>
    </row>
    <row r="849" spans="1:7" ht="21.75" customHeight="1">
      <c r="A849" s="29"/>
      <c r="E849" s="28"/>
      <c r="G849" s="25">
        <v>0</v>
      </c>
    </row>
    <row r="850" spans="1:7" ht="21.75" customHeight="1">
      <c r="A850" s="29"/>
      <c r="E850" s="28"/>
      <c r="G850" s="25">
        <v>0</v>
      </c>
    </row>
    <row r="851" spans="1:7" ht="21.75" customHeight="1">
      <c r="A851" s="29"/>
      <c r="E851" s="28"/>
      <c r="G851" s="25">
        <v>0</v>
      </c>
    </row>
    <row r="852" spans="1:7" ht="21.75" customHeight="1">
      <c r="A852" s="29"/>
      <c r="E852" s="28"/>
      <c r="G852" s="25">
        <v>0</v>
      </c>
    </row>
    <row r="853" spans="1:7" ht="21.75" customHeight="1">
      <c r="A853" s="29"/>
      <c r="E853" s="28"/>
      <c r="G853" s="25">
        <v>0</v>
      </c>
    </row>
    <row r="854" spans="1:7" ht="21.75" customHeight="1">
      <c r="A854" s="29"/>
      <c r="E854" s="28"/>
      <c r="G854" s="25">
        <v>0</v>
      </c>
    </row>
    <row r="855" spans="1:7" ht="21.75" customHeight="1">
      <c r="A855" s="29"/>
      <c r="E855" s="28"/>
      <c r="G855" s="25">
        <v>0</v>
      </c>
    </row>
    <row r="856" spans="1:7" ht="21.75" customHeight="1">
      <c r="A856" s="29"/>
      <c r="E856" s="28"/>
      <c r="G856" s="25">
        <v>0</v>
      </c>
    </row>
    <row r="857" spans="1:7" ht="21.75" customHeight="1">
      <c r="A857" s="29"/>
      <c r="E857" s="28"/>
      <c r="G857" s="25">
        <v>0</v>
      </c>
    </row>
    <row r="858" spans="1:7" ht="21.75" customHeight="1">
      <c r="A858" s="29"/>
      <c r="E858" s="28"/>
      <c r="G858" s="25">
        <v>0</v>
      </c>
    </row>
    <row r="859" spans="1:7" ht="21.75" customHeight="1">
      <c r="A859" s="29"/>
      <c r="E859" s="28"/>
      <c r="G859" s="25">
        <v>0</v>
      </c>
    </row>
    <row r="860" spans="1:7" ht="21.75" customHeight="1">
      <c r="A860" s="29"/>
      <c r="E860" s="28"/>
      <c r="G860" s="25">
        <v>0</v>
      </c>
    </row>
    <row r="861" spans="1:7" ht="21.75" customHeight="1">
      <c r="A861" s="29"/>
      <c r="E861" s="28"/>
      <c r="G861" s="25">
        <v>0</v>
      </c>
    </row>
    <row r="862" spans="1:7" ht="21.75" customHeight="1">
      <c r="A862" s="29"/>
      <c r="E862" s="28"/>
      <c r="G862" s="25">
        <v>0</v>
      </c>
    </row>
    <row r="863" spans="1:7" ht="21.75" customHeight="1">
      <c r="A863" s="29"/>
      <c r="E863" s="28"/>
      <c r="G863" s="25">
        <v>0</v>
      </c>
    </row>
    <row r="864" spans="1:7" ht="21.75" customHeight="1">
      <c r="A864" s="29"/>
      <c r="E864" s="28"/>
      <c r="G864" s="25">
        <v>0</v>
      </c>
    </row>
    <row r="865" spans="1:7" ht="21.75" customHeight="1">
      <c r="A865" s="29"/>
      <c r="E865" s="28"/>
      <c r="G865" s="25">
        <v>0</v>
      </c>
    </row>
    <row r="866" spans="1:7" ht="21.75" customHeight="1">
      <c r="A866" s="29"/>
      <c r="E866" s="28"/>
      <c r="G866" s="25">
        <v>0</v>
      </c>
    </row>
    <row r="867" spans="1:7" ht="21.75" customHeight="1">
      <c r="A867" s="29"/>
      <c r="E867" s="28"/>
      <c r="G867" s="25">
        <v>0</v>
      </c>
    </row>
    <row r="868" spans="1:7" ht="21.75" customHeight="1">
      <c r="A868" s="29"/>
      <c r="E868" s="28"/>
      <c r="G868" s="25">
        <v>0</v>
      </c>
    </row>
    <row r="869" spans="1:7" ht="21.75" customHeight="1">
      <c r="A869" s="29"/>
      <c r="E869" s="28"/>
      <c r="G869" s="25">
        <v>0</v>
      </c>
    </row>
    <row r="870" spans="1:7" ht="21.75" customHeight="1">
      <c r="A870" s="29"/>
      <c r="E870" s="28"/>
      <c r="G870" s="25">
        <v>0</v>
      </c>
    </row>
    <row r="871" spans="1:7" ht="21.75" customHeight="1">
      <c r="A871" s="29"/>
      <c r="E871" s="28"/>
      <c r="G871" s="25">
        <v>0</v>
      </c>
    </row>
    <row r="872" spans="1:7" ht="21.75" customHeight="1">
      <c r="A872" s="29"/>
      <c r="E872" s="28"/>
      <c r="G872" s="25">
        <v>0</v>
      </c>
    </row>
    <row r="873" spans="1:7" ht="21.75" customHeight="1">
      <c r="A873" s="29"/>
      <c r="E873" s="28"/>
      <c r="G873" s="25">
        <v>0</v>
      </c>
    </row>
    <row r="874" spans="1:7" ht="21.75" customHeight="1">
      <c r="A874" s="29"/>
      <c r="E874" s="28"/>
      <c r="G874" s="25">
        <v>0</v>
      </c>
    </row>
    <row r="875" spans="1:7" ht="21.75" customHeight="1">
      <c r="A875" s="29"/>
      <c r="E875" s="28"/>
      <c r="G875" s="25">
        <v>0</v>
      </c>
    </row>
    <row r="876" spans="1:7" ht="21.75" customHeight="1">
      <c r="A876" s="29"/>
      <c r="E876" s="28"/>
      <c r="G876" s="25">
        <v>0</v>
      </c>
    </row>
    <row r="877" spans="1:7" ht="21.75" customHeight="1">
      <c r="A877" s="29"/>
      <c r="E877" s="28"/>
      <c r="G877" s="25">
        <v>0</v>
      </c>
    </row>
    <row r="878" spans="1:7" ht="21.75" customHeight="1">
      <c r="A878" s="29"/>
      <c r="E878" s="28"/>
      <c r="G878" s="25">
        <v>0</v>
      </c>
    </row>
    <row r="879" spans="1:7" ht="21.75" customHeight="1">
      <c r="A879" s="29"/>
      <c r="E879" s="28"/>
      <c r="G879" s="25">
        <v>0</v>
      </c>
    </row>
    <row r="880" spans="1:7" ht="21.75" customHeight="1">
      <c r="A880" s="29"/>
      <c r="E880" s="28"/>
      <c r="G880" s="25">
        <v>0</v>
      </c>
    </row>
    <row r="881" spans="1:7" ht="21.75" customHeight="1">
      <c r="A881" s="29"/>
      <c r="E881" s="28"/>
      <c r="G881" s="25">
        <v>0</v>
      </c>
    </row>
    <row r="882" spans="1:7" ht="21.75" customHeight="1">
      <c r="A882" s="29"/>
      <c r="E882" s="28"/>
      <c r="G882" s="25">
        <v>0</v>
      </c>
    </row>
    <row r="883" spans="1:7" ht="21.75" customHeight="1">
      <c r="A883" s="29"/>
      <c r="E883" s="28"/>
      <c r="G883" s="25">
        <v>0</v>
      </c>
    </row>
    <row r="884" spans="1:7" ht="21.75" customHeight="1">
      <c r="A884" s="29"/>
      <c r="E884" s="28"/>
      <c r="G884" s="25">
        <v>0</v>
      </c>
    </row>
    <row r="885" spans="1:7" ht="21.75" customHeight="1">
      <c r="A885" s="29"/>
      <c r="E885" s="28"/>
      <c r="G885" s="25">
        <v>0</v>
      </c>
    </row>
    <row r="886" spans="1:7" ht="21.75" customHeight="1">
      <c r="A886" s="29"/>
      <c r="E886" s="28"/>
      <c r="G886" s="25">
        <v>0</v>
      </c>
    </row>
    <row r="887" spans="1:7" ht="21.75" customHeight="1">
      <c r="A887" s="29"/>
      <c r="E887" s="28"/>
      <c r="G887" s="25">
        <v>0</v>
      </c>
    </row>
    <row r="888" spans="1:7" ht="21.75" customHeight="1">
      <c r="A888" s="29"/>
      <c r="E888" s="28"/>
      <c r="G888" s="25">
        <v>0</v>
      </c>
    </row>
    <row r="889" spans="1:7" ht="21.75" customHeight="1">
      <c r="A889" s="29"/>
      <c r="E889" s="28"/>
      <c r="G889" s="25">
        <v>0</v>
      </c>
    </row>
    <row r="890" spans="1:7" ht="21.75" customHeight="1">
      <c r="A890" s="29"/>
      <c r="E890" s="28"/>
      <c r="G890" s="25">
        <v>0</v>
      </c>
    </row>
    <row r="891" spans="1:7" ht="21.75" customHeight="1">
      <c r="A891" s="29"/>
      <c r="E891" s="28"/>
      <c r="G891" s="25">
        <v>0</v>
      </c>
    </row>
    <row r="892" spans="1:7" ht="21.75" customHeight="1">
      <c r="A892" s="29"/>
      <c r="E892" s="28"/>
      <c r="G892" s="25">
        <v>0</v>
      </c>
    </row>
    <row r="893" spans="1:7" ht="21.75" customHeight="1">
      <c r="A893" s="29"/>
      <c r="E893" s="28"/>
      <c r="G893" s="25">
        <v>0</v>
      </c>
    </row>
    <row r="894" spans="1:7" ht="21.75" customHeight="1">
      <c r="A894" s="29"/>
      <c r="E894" s="28"/>
      <c r="G894" s="25">
        <v>0</v>
      </c>
    </row>
    <row r="895" spans="1:7" ht="21.75" customHeight="1">
      <c r="A895" s="29"/>
      <c r="E895" s="28"/>
      <c r="G895" s="25">
        <v>0</v>
      </c>
    </row>
    <row r="896" spans="1:7" ht="21.75" customHeight="1">
      <c r="A896" s="29"/>
      <c r="E896" s="28"/>
      <c r="G896" s="25">
        <v>0</v>
      </c>
    </row>
    <row r="897" spans="1:7" ht="21.75" customHeight="1">
      <c r="A897" s="29"/>
      <c r="E897" s="28"/>
      <c r="G897" s="25">
        <v>0</v>
      </c>
    </row>
    <row r="898" spans="1:7" ht="21.75" customHeight="1">
      <c r="A898" s="29"/>
      <c r="E898" s="28"/>
      <c r="G898" s="25">
        <v>0</v>
      </c>
    </row>
    <row r="899" spans="1:7" ht="21.75" customHeight="1">
      <c r="A899" s="29"/>
      <c r="E899" s="28"/>
      <c r="G899" s="25">
        <v>0</v>
      </c>
    </row>
    <row r="900" spans="1:7" ht="21.75" customHeight="1">
      <c r="A900" s="29"/>
      <c r="E900" s="28"/>
      <c r="G900" s="25">
        <v>0</v>
      </c>
    </row>
    <row r="901" spans="1:7" ht="21.75" customHeight="1">
      <c r="A901" s="29"/>
      <c r="E901" s="28"/>
      <c r="G901" s="25">
        <v>0</v>
      </c>
    </row>
    <row r="902" spans="1:7" ht="21.75" customHeight="1">
      <c r="A902" s="29"/>
      <c r="E902" s="28"/>
      <c r="G902" s="25">
        <v>0</v>
      </c>
    </row>
    <row r="903" spans="1:7" ht="21.75" customHeight="1">
      <c r="A903" s="29"/>
      <c r="E903" s="28"/>
      <c r="G903" s="25">
        <v>0</v>
      </c>
    </row>
    <row r="904" spans="1:7" ht="21.75" customHeight="1">
      <c r="A904" s="29"/>
      <c r="E904" s="28"/>
      <c r="G904" s="25">
        <v>0</v>
      </c>
    </row>
    <row r="905" spans="1:7" ht="21.75" customHeight="1">
      <c r="A905" s="29"/>
      <c r="E905" s="28"/>
      <c r="G905" s="25">
        <v>0</v>
      </c>
    </row>
    <row r="906" spans="1:7" ht="21.75" customHeight="1">
      <c r="A906" s="29"/>
      <c r="E906" s="28"/>
      <c r="G906" s="25">
        <v>0</v>
      </c>
    </row>
    <row r="907" spans="1:7" ht="21.75" customHeight="1">
      <c r="A907" s="29"/>
      <c r="E907" s="28"/>
      <c r="G907" s="25">
        <v>0</v>
      </c>
    </row>
    <row r="908" spans="1:7" ht="21.75" customHeight="1">
      <c r="A908" s="29"/>
      <c r="E908" s="28"/>
      <c r="G908" s="25">
        <v>0</v>
      </c>
    </row>
    <row r="909" spans="1:7" ht="21.75" customHeight="1">
      <c r="A909" s="29"/>
      <c r="E909" s="28"/>
      <c r="G909" s="25">
        <v>0</v>
      </c>
    </row>
    <row r="910" spans="1:7" ht="21.75" customHeight="1">
      <c r="A910" s="29"/>
      <c r="E910" s="28"/>
      <c r="G910" s="25">
        <v>0</v>
      </c>
    </row>
    <row r="911" spans="1:7" ht="21.75" customHeight="1">
      <c r="A911" s="29"/>
      <c r="E911" s="28"/>
      <c r="G911" s="25">
        <v>0</v>
      </c>
    </row>
    <row r="912" spans="1:7" ht="21.75" customHeight="1">
      <c r="A912" s="29"/>
      <c r="E912" s="28"/>
      <c r="G912" s="25">
        <v>0</v>
      </c>
    </row>
    <row r="913" spans="1:7" ht="21.75" customHeight="1">
      <c r="A913" s="29"/>
      <c r="E913" s="28"/>
      <c r="G913" s="25">
        <v>0</v>
      </c>
    </row>
    <row r="914" spans="1:7" ht="21.75" customHeight="1">
      <c r="A914" s="29"/>
      <c r="E914" s="28"/>
      <c r="G914" s="25">
        <v>0</v>
      </c>
    </row>
    <row r="915" spans="1:7" ht="21.75" customHeight="1">
      <c r="A915" s="29"/>
      <c r="E915" s="28"/>
      <c r="G915" s="25">
        <v>0</v>
      </c>
    </row>
    <row r="916" spans="1:7" ht="21.75" customHeight="1">
      <c r="A916" s="29"/>
      <c r="E916" s="28"/>
      <c r="G916" s="25">
        <v>0</v>
      </c>
    </row>
    <row r="917" spans="1:7" ht="21.75" customHeight="1">
      <c r="A917" s="29"/>
      <c r="E917" s="28"/>
      <c r="G917" s="25">
        <v>0</v>
      </c>
    </row>
    <row r="918" spans="1:7" ht="21.75" customHeight="1">
      <c r="A918" s="29"/>
      <c r="E918" s="28"/>
      <c r="G918" s="25">
        <v>0</v>
      </c>
    </row>
    <row r="919" spans="1:7" ht="21.75" customHeight="1">
      <c r="A919" s="29"/>
      <c r="E919" s="28"/>
      <c r="G919" s="25">
        <v>0</v>
      </c>
    </row>
    <row r="920" spans="1:7" ht="21.75" customHeight="1">
      <c r="A920" s="29"/>
      <c r="E920" s="28"/>
      <c r="G920" s="25">
        <v>0</v>
      </c>
    </row>
    <row r="921" spans="1:7" ht="21.75" customHeight="1">
      <c r="A921" s="29"/>
      <c r="E921" s="28"/>
      <c r="G921" s="25">
        <v>0</v>
      </c>
    </row>
    <row r="922" spans="1:7" ht="21.75" customHeight="1">
      <c r="A922" s="29"/>
      <c r="E922" s="28"/>
      <c r="G922" s="25">
        <v>0</v>
      </c>
    </row>
    <row r="923" spans="1:7" ht="21.75" customHeight="1">
      <c r="A923" s="29"/>
      <c r="E923" s="28"/>
      <c r="G923" s="25">
        <v>0</v>
      </c>
    </row>
    <row r="924" spans="1:7" ht="21.75" customHeight="1">
      <c r="A924" s="29"/>
      <c r="E924" s="28"/>
      <c r="G924" s="25">
        <v>0</v>
      </c>
    </row>
    <row r="925" spans="1:7" ht="21.75" customHeight="1">
      <c r="A925" s="29"/>
      <c r="E925" s="28"/>
      <c r="G925" s="25">
        <v>0</v>
      </c>
    </row>
    <row r="926" spans="1:7" ht="21.75" customHeight="1">
      <c r="A926" s="29"/>
      <c r="E926" s="28"/>
      <c r="G926" s="25">
        <v>0</v>
      </c>
    </row>
    <row r="927" spans="1:7" ht="21.75" customHeight="1">
      <c r="A927" s="29"/>
      <c r="E927" s="28"/>
      <c r="G927" s="25">
        <v>0</v>
      </c>
    </row>
    <row r="928" spans="1:7" ht="21.75" customHeight="1">
      <c r="A928" s="29"/>
      <c r="E928" s="28"/>
      <c r="G928" s="25">
        <v>0</v>
      </c>
    </row>
    <row r="929" spans="1:7" ht="21.75" customHeight="1">
      <c r="A929" s="29"/>
      <c r="E929" s="28"/>
      <c r="G929" s="25">
        <v>0</v>
      </c>
    </row>
    <row r="930" spans="1:7" ht="21.75" customHeight="1">
      <c r="A930" s="29"/>
      <c r="E930" s="28"/>
      <c r="G930" s="25">
        <v>0</v>
      </c>
    </row>
    <row r="931" spans="1:7" ht="21.75" customHeight="1">
      <c r="A931" s="29"/>
      <c r="E931" s="28"/>
      <c r="G931" s="25">
        <v>0</v>
      </c>
    </row>
    <row r="932" spans="1:7" ht="21.75" customHeight="1">
      <c r="A932" s="29"/>
      <c r="E932" s="28"/>
      <c r="G932" s="25">
        <v>0</v>
      </c>
    </row>
    <row r="933" spans="1:7" ht="21.75" customHeight="1">
      <c r="A933" s="29"/>
      <c r="E933" s="28"/>
      <c r="G933" s="25">
        <v>0</v>
      </c>
    </row>
    <row r="934" spans="1:7" ht="21.75" customHeight="1">
      <c r="A934" s="29"/>
      <c r="E934" s="28"/>
      <c r="G934" s="25">
        <v>0</v>
      </c>
    </row>
    <row r="935" spans="1:7" ht="21.75" customHeight="1">
      <c r="A935" s="29"/>
      <c r="E935" s="28"/>
      <c r="G935" s="25">
        <v>0</v>
      </c>
    </row>
    <row r="936" spans="1:7" ht="21.75" customHeight="1">
      <c r="A936" s="29"/>
      <c r="E936" s="28"/>
      <c r="G936" s="25">
        <v>0</v>
      </c>
    </row>
    <row r="937" spans="1:7" ht="21.75" customHeight="1">
      <c r="A937" s="29"/>
      <c r="E937" s="28"/>
      <c r="G937" s="25">
        <v>0</v>
      </c>
    </row>
    <row r="938" spans="1:7" ht="21.75" customHeight="1">
      <c r="A938" s="29"/>
      <c r="E938" s="28"/>
      <c r="G938" s="25">
        <v>0</v>
      </c>
    </row>
    <row r="939" spans="1:7" ht="21.75" customHeight="1">
      <c r="A939" s="29"/>
      <c r="E939" s="28"/>
      <c r="G939" s="25">
        <v>0</v>
      </c>
    </row>
    <row r="940" spans="1:7" ht="21.75" customHeight="1">
      <c r="A940" s="29"/>
      <c r="E940" s="28"/>
      <c r="G940" s="25">
        <v>0</v>
      </c>
    </row>
    <row r="941" spans="1:7" ht="21.75" customHeight="1">
      <c r="A941" s="29"/>
      <c r="E941" s="28"/>
      <c r="G941" s="25">
        <v>0</v>
      </c>
    </row>
    <row r="942" spans="1:7" ht="21.75" customHeight="1">
      <c r="A942" s="29"/>
      <c r="E942" s="28"/>
      <c r="G942" s="25">
        <v>0</v>
      </c>
    </row>
    <row r="943" spans="1:7" ht="21.75" customHeight="1">
      <c r="A943" s="29"/>
      <c r="E943" s="28"/>
      <c r="G943" s="25">
        <v>0</v>
      </c>
    </row>
    <row r="944" spans="1:7" ht="21.75" customHeight="1">
      <c r="A944" s="29"/>
      <c r="E944" s="28"/>
      <c r="G944" s="25">
        <v>0</v>
      </c>
    </row>
    <row r="945" spans="1:7" ht="21.75" customHeight="1">
      <c r="A945" s="29"/>
      <c r="E945" s="28"/>
      <c r="G945" s="25">
        <v>0</v>
      </c>
    </row>
    <row r="946" spans="1:7" ht="21.75" customHeight="1">
      <c r="A946" s="29"/>
      <c r="E946" s="28"/>
      <c r="G946" s="25">
        <v>0</v>
      </c>
    </row>
    <row r="947" spans="1:7" ht="21.75" customHeight="1">
      <c r="A947" s="29"/>
      <c r="E947" s="28"/>
      <c r="G947" s="25">
        <v>0</v>
      </c>
    </row>
    <row r="948" spans="1:7" ht="21.75" customHeight="1">
      <c r="A948" s="29"/>
      <c r="E948" s="28"/>
      <c r="G948" s="25">
        <v>0</v>
      </c>
    </row>
    <row r="949" spans="1:7" ht="21.75" customHeight="1">
      <c r="A949" s="29"/>
      <c r="E949" s="28"/>
      <c r="G949" s="25">
        <v>0</v>
      </c>
    </row>
    <row r="950" spans="1:7" ht="21.75" customHeight="1">
      <c r="A950" s="29"/>
      <c r="E950" s="28"/>
      <c r="G950" s="25">
        <v>0</v>
      </c>
    </row>
    <row r="951" spans="1:7" ht="21.75" customHeight="1">
      <c r="A951" s="29"/>
      <c r="E951" s="28"/>
      <c r="G951" s="25">
        <v>0</v>
      </c>
    </row>
    <row r="952" spans="1:7" ht="21.75" customHeight="1">
      <c r="A952" s="29"/>
      <c r="E952" s="28"/>
      <c r="G952" s="25">
        <v>0</v>
      </c>
    </row>
    <row r="953" spans="1:7" ht="21.75" customHeight="1">
      <c r="A953" s="29"/>
      <c r="E953" s="28"/>
      <c r="G953" s="25">
        <v>0</v>
      </c>
    </row>
    <row r="954" spans="1:7" ht="21.75" customHeight="1">
      <c r="A954" s="29"/>
      <c r="E954" s="28"/>
      <c r="G954" s="25">
        <v>0</v>
      </c>
    </row>
    <row r="955" spans="1:7" ht="21.75" customHeight="1">
      <c r="A955" s="29"/>
      <c r="E955" s="28"/>
      <c r="G955" s="25">
        <v>0</v>
      </c>
    </row>
    <row r="956" spans="1:7" ht="21.75" customHeight="1">
      <c r="A956" s="29"/>
      <c r="E956" s="28"/>
      <c r="G956" s="25">
        <v>0</v>
      </c>
    </row>
    <row r="957" spans="1:7" ht="21.75" customHeight="1">
      <c r="A957" s="29"/>
      <c r="E957" s="28"/>
      <c r="G957" s="25">
        <v>0</v>
      </c>
    </row>
    <row r="958" spans="1:7" ht="21.75" customHeight="1">
      <c r="A958" s="29"/>
      <c r="E958" s="28"/>
      <c r="G958" s="25">
        <v>0</v>
      </c>
    </row>
    <row r="959" spans="1:7" ht="21.75" customHeight="1">
      <c r="A959" s="29"/>
      <c r="E959" s="28"/>
      <c r="G959" s="25">
        <v>0</v>
      </c>
    </row>
    <row r="960" spans="1:7" ht="21.75" customHeight="1">
      <c r="A960" s="29"/>
      <c r="E960" s="28"/>
      <c r="G960" s="25">
        <v>0</v>
      </c>
    </row>
    <row r="961" spans="1:7" ht="21.75" customHeight="1">
      <c r="A961" s="29"/>
      <c r="E961" s="28"/>
      <c r="G961" s="25">
        <v>0</v>
      </c>
    </row>
    <row r="962" spans="1:7" ht="21.75" customHeight="1">
      <c r="A962" s="29"/>
      <c r="E962" s="28"/>
      <c r="G962" s="25">
        <v>0</v>
      </c>
    </row>
    <row r="963" spans="1:7" ht="21.75" customHeight="1">
      <c r="A963" s="29"/>
      <c r="E963" s="28"/>
      <c r="G963" s="25">
        <v>0</v>
      </c>
    </row>
    <row r="964" spans="1:7" ht="21.75" customHeight="1">
      <c r="A964" s="29"/>
      <c r="E964" s="28"/>
      <c r="G964" s="25">
        <v>0</v>
      </c>
    </row>
    <row r="965" spans="1:7" ht="21.75" customHeight="1">
      <c r="A965" s="29"/>
      <c r="E965" s="28"/>
      <c r="G965" s="25">
        <v>0</v>
      </c>
    </row>
    <row r="966" spans="1:7" ht="21.75" customHeight="1">
      <c r="A966" s="29"/>
      <c r="E966" s="28"/>
      <c r="G966" s="25">
        <v>0</v>
      </c>
    </row>
    <row r="967" spans="1:7" ht="21.75" customHeight="1">
      <c r="A967" s="29"/>
      <c r="E967" s="28"/>
      <c r="G967" s="25">
        <v>0</v>
      </c>
    </row>
    <row r="968" spans="1:7" ht="21.75" customHeight="1">
      <c r="A968" s="29"/>
      <c r="E968" s="28"/>
      <c r="G968" s="25">
        <v>0</v>
      </c>
    </row>
    <row r="969" spans="1:7" ht="21.75" customHeight="1">
      <c r="A969" s="29"/>
      <c r="E969" s="28"/>
      <c r="G969" s="25">
        <v>0</v>
      </c>
    </row>
    <row r="970" spans="1:7" ht="21.75" customHeight="1">
      <c r="A970" s="29"/>
      <c r="E970" s="28"/>
      <c r="G970" s="25">
        <v>0</v>
      </c>
    </row>
    <row r="971" spans="1:7" ht="21.75" customHeight="1">
      <c r="A971" s="29"/>
      <c r="E971" s="28"/>
      <c r="G971" s="25">
        <v>0</v>
      </c>
    </row>
    <row r="972" spans="1:7" ht="21.75" customHeight="1">
      <c r="A972" s="29"/>
      <c r="E972" s="28"/>
      <c r="G972" s="25">
        <v>0</v>
      </c>
    </row>
    <row r="973" spans="1:7" ht="21.75" customHeight="1">
      <c r="A973" s="29"/>
      <c r="E973" s="28"/>
      <c r="G973" s="25">
        <v>0</v>
      </c>
    </row>
    <row r="974" spans="1:7" ht="21.75" customHeight="1">
      <c r="A974" s="29"/>
      <c r="E974" s="28"/>
      <c r="G974" s="25">
        <v>0</v>
      </c>
    </row>
    <row r="975" spans="1:7" ht="21.75" customHeight="1">
      <c r="A975" s="29"/>
      <c r="E975" s="28"/>
      <c r="G975" s="25">
        <v>0</v>
      </c>
    </row>
    <row r="976" spans="1:7" ht="21.75" customHeight="1">
      <c r="A976" s="29"/>
      <c r="E976" s="28"/>
      <c r="G976" s="25">
        <v>0</v>
      </c>
    </row>
    <row r="977" spans="1:7" ht="21.75" customHeight="1">
      <c r="A977" s="29"/>
      <c r="E977" s="28"/>
      <c r="G977" s="25">
        <v>0</v>
      </c>
    </row>
    <row r="978" spans="1:7" ht="21.75" customHeight="1">
      <c r="A978" s="29"/>
      <c r="E978" s="28"/>
      <c r="G978" s="25">
        <v>0</v>
      </c>
    </row>
    <row r="979" spans="1:7" ht="21.75" customHeight="1">
      <c r="A979" s="29"/>
      <c r="E979" s="28"/>
      <c r="G979" s="25">
        <v>0</v>
      </c>
    </row>
    <row r="980" spans="1:7" ht="21.75" customHeight="1">
      <c r="A980" s="29"/>
      <c r="E980" s="28"/>
      <c r="G980" s="25">
        <v>0</v>
      </c>
    </row>
    <row r="981" spans="1:7" ht="21.75" customHeight="1">
      <c r="A981" s="29"/>
      <c r="E981" s="28"/>
      <c r="G981" s="25">
        <v>0</v>
      </c>
    </row>
    <row r="982" spans="1:7" ht="21.75" customHeight="1">
      <c r="A982" s="29"/>
      <c r="E982" s="28"/>
      <c r="G982" s="25">
        <v>0</v>
      </c>
    </row>
    <row r="983" spans="1:7" ht="21.75" customHeight="1">
      <c r="A983" s="29"/>
      <c r="E983" s="28"/>
      <c r="G983" s="25">
        <v>0</v>
      </c>
    </row>
    <row r="984" spans="1:7" ht="21.75" customHeight="1">
      <c r="A984" s="29"/>
      <c r="E984" s="28"/>
      <c r="G984" s="25">
        <v>0</v>
      </c>
    </row>
    <row r="985" spans="1:7" ht="21.75" customHeight="1">
      <c r="A985" s="29"/>
      <c r="E985" s="28"/>
      <c r="G985" s="25">
        <v>0</v>
      </c>
    </row>
    <row r="986" spans="1:7" ht="21.75" customHeight="1">
      <c r="A986" s="29"/>
      <c r="E986" s="28"/>
      <c r="G986" s="25">
        <v>0</v>
      </c>
    </row>
    <row r="987" spans="1:7" ht="21.75" customHeight="1">
      <c r="A987" s="29"/>
      <c r="E987" s="28"/>
      <c r="G987" s="25">
        <v>0</v>
      </c>
    </row>
    <row r="988" spans="1:7" ht="21.75" customHeight="1">
      <c r="A988" s="29"/>
      <c r="E988" s="28"/>
      <c r="G988" s="25">
        <v>0</v>
      </c>
    </row>
    <row r="989" spans="1:7" ht="21.75" customHeight="1">
      <c r="A989" s="29"/>
      <c r="E989" s="28"/>
      <c r="G989" s="25">
        <v>0</v>
      </c>
    </row>
    <row r="990" spans="1:7" ht="21.75" customHeight="1">
      <c r="A990" s="29"/>
      <c r="E990" s="28"/>
      <c r="G990" s="25">
        <v>0</v>
      </c>
    </row>
    <row r="991" spans="1:7" ht="21.75" customHeight="1">
      <c r="A991" s="29"/>
      <c r="E991" s="28"/>
      <c r="G991" s="25">
        <v>0</v>
      </c>
    </row>
    <row r="992" spans="1:7" ht="21.75" customHeight="1">
      <c r="A992" s="29"/>
      <c r="E992" s="28"/>
      <c r="G992" s="25">
        <v>0</v>
      </c>
    </row>
    <row r="993" spans="1:7" ht="21.75" customHeight="1">
      <c r="A993" s="29"/>
      <c r="E993" s="28"/>
      <c r="G993" s="25">
        <v>0</v>
      </c>
    </row>
    <row r="994" spans="1:7" ht="21.75" customHeight="1">
      <c r="A994" s="29"/>
      <c r="E994" s="28"/>
      <c r="G994" s="25">
        <v>0</v>
      </c>
    </row>
    <row r="995" spans="1:7" ht="21.75" customHeight="1">
      <c r="A995" s="29"/>
      <c r="E995" s="28"/>
      <c r="G995" s="25">
        <v>0</v>
      </c>
    </row>
    <row r="996" spans="1:7" ht="21.75" customHeight="1">
      <c r="A996" s="29"/>
      <c r="E996" s="28"/>
      <c r="G996" s="25">
        <v>0</v>
      </c>
    </row>
    <row r="997" spans="1:7" ht="21.75" customHeight="1">
      <c r="A997" s="29"/>
      <c r="E997" s="28"/>
      <c r="G997" s="25">
        <v>0</v>
      </c>
    </row>
    <row r="998" spans="1:7" ht="21.75" customHeight="1">
      <c r="A998" s="29"/>
      <c r="E998" s="28"/>
      <c r="G998" s="25">
        <v>0</v>
      </c>
    </row>
    <row r="999" spans="1:7" ht="21.75" customHeight="1">
      <c r="A999" s="29"/>
      <c r="E999" s="28"/>
      <c r="G999" s="25">
        <v>0</v>
      </c>
    </row>
    <row r="1000" spans="1:7" ht="21.75" customHeight="1">
      <c r="A1000" s="29"/>
      <c r="E1000" s="28"/>
      <c r="G1000" s="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886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6640625" defaultRowHeight="15.7" customHeight="1"/>
  <cols>
    <col min="2" max="2" width="36.5" customWidth="1"/>
    <col min="3" max="3" width="12.6640625" customWidth="1"/>
    <col min="4" max="4" width="36.5" customWidth="1"/>
    <col min="5" max="6" width="12.6640625" customWidth="1"/>
  </cols>
  <sheetData>
    <row r="1" spans="1:6" ht="39.049999999999997" customHeight="1">
      <c r="A1" s="1" t="s">
        <v>106</v>
      </c>
      <c r="B1" s="30" t="s">
        <v>113</v>
      </c>
      <c r="C1" s="31" t="s">
        <v>114</v>
      </c>
      <c r="D1" s="30" t="s">
        <v>115</v>
      </c>
      <c r="E1" s="31" t="s">
        <v>116</v>
      </c>
      <c r="F1" s="31" t="s">
        <v>117</v>
      </c>
    </row>
    <row r="2" spans="1:6" ht="39.049999999999997" customHeight="1">
      <c r="A2" s="32" t="e">
        <f t="array" aca="1" ref="A2:A185" ca="1">_xludf.SEQUENCE(DATE(הגדרות!$B$2, הגדרות!$B$5 + 1, 1) - DATE(הגדרות!$B$2, 3, 1), 1, DATE(הגדרות!$B$2, 3, 1))</f>
        <v>#NAME?</v>
      </c>
      <c r="B2" s="33" t="str">
        <f ca="1">IFERROR(__xludf.DUMMYFUNCTION("ARRAYFORMULA(IF(A2:A886="""", , IFERROR(BYROW(A2:A886, lambda(row, TEXTJOIN("", "", TRUE, UNIQUE(FILTER('גיול'!$F$2:$F886, 'גיול'!$D$2:$D886=row))))), """")))"),"")</f>
        <v/>
      </c>
      <c r="C2" s="34" t="e">
        <f t="array" ref="C2:C886" ca="1">IF(A2:A886="", , SUMIF(גיול!$D:$D, A2:A886, גיול!$C:$C))</f>
        <v>#NAME?</v>
      </c>
      <c r="D2" s="35" t="str">
        <f ca="1">IFERROR(__xludf.DUMMYFUNCTION("ARRAYFORMULA(IF(A2:A886="""", , IFERROR(BYROW(A2:A886, lambda(row, TEXTJOIN("", "", TRUE, UNIQUE(FILTER('הוצאותמסודר'!$E$2:$E886, 'הוצאותמסודר'!$A$2:$A886=row))))), """")))"),"שכר")</f>
        <v>שכר</v>
      </c>
      <c r="E2" s="34" t="e">
        <f t="array" aca="1" ref="E2:E886" ca="1">IF(A2:A886="", , SUMIF(הוצאותמסודר!$A:$A, A2:A886, הוצאותמסודר!$D:$D))</f>
        <v>#NAME?</v>
      </c>
      <c r="F2" s="34" t="e">
        <f ca="1">הגדרות!$B$3 + C2 - E2</f>
        <v>#NAME?</v>
      </c>
    </row>
    <row r="3" spans="1:6" ht="39.049999999999997" customHeight="1">
      <c r="A3" s="32" t="e">
        <f ca="1"/>
        <v>#NAME?</v>
      </c>
      <c r="B3" s="33" t="str">
        <f ca="1">IFERROR(__xludf.DUMMYFUNCTION("""COMPUTED_VALUE"""),"")</f>
        <v/>
      </c>
      <c r="C3" s="34" t="e">
        <f ca="1"/>
        <v>#NAME?</v>
      </c>
      <c r="D3" s="35" t="str">
        <f ca="1">IFERROR(__xludf.DUMMYFUNCTION("""COMPUTED_VALUE"""),"הלוואה, תקשורת, אגרות ובנקים")</f>
        <v>הלוואה, תקשורת, אגרות ובנקים</v>
      </c>
      <c r="E3" s="34" t="e">
        <f ca="1"/>
        <v>#NAME?</v>
      </c>
      <c r="F3" s="34" t="e">
        <f t="array" aca="1" ref="F3:F185" ca="1">_xludf.SCAN(F2, C3:INDEX(C:C, COUNTA(A:A)) - E3:INDEX(E:E, COUNTA(A:A)), _xludf.LAMBDA(acc, curr, acc + curr))</f>
        <v>#NAME?</v>
      </c>
    </row>
    <row r="4" spans="1:6" ht="39.049999999999997" customHeight="1">
      <c r="A4" s="32" t="e">
        <f ca="1"/>
        <v>#NAME?</v>
      </c>
      <c r="B4" s="33" t="str">
        <f ca="1">IFERROR(__xludf.DUMMYFUNCTION("""COMPUTED_VALUE"""),"")</f>
        <v/>
      </c>
      <c r="C4" s="34" t="e">
        <f ca="1"/>
        <v>#NAME?</v>
      </c>
      <c r="D4" s="35" t="str">
        <f ca="1">IFERROR(__xludf.DUMMYFUNCTION("""COMPUTED_VALUE"""),"")</f>
        <v/>
      </c>
      <c r="E4" s="34" t="e">
        <f ca="1"/>
        <v>#NAME?</v>
      </c>
      <c r="F4" s="34" t="e">
        <f ca="1"/>
        <v>#NAME?</v>
      </c>
    </row>
    <row r="5" spans="1:6" ht="39.049999999999997" customHeight="1">
      <c r="A5" s="32" t="e">
        <f ca="1"/>
        <v>#NAME?</v>
      </c>
      <c r="B5" s="33" t="str">
        <f ca="1">IFERROR(__xludf.DUMMYFUNCTION("""COMPUTED_VALUE"""),"")</f>
        <v/>
      </c>
      <c r="C5" s="34" t="e">
        <f ca="1"/>
        <v>#NAME?</v>
      </c>
      <c r="D5" s="35" t="str">
        <f ca="1">IFERROR(__xludf.DUMMYFUNCTION("""COMPUTED_VALUE"""),"")</f>
        <v/>
      </c>
      <c r="E5" s="34" t="e">
        <f ca="1"/>
        <v>#NAME?</v>
      </c>
      <c r="F5" s="34" t="e">
        <f ca="1"/>
        <v>#NAME?</v>
      </c>
    </row>
    <row r="6" spans="1:6" ht="39.049999999999997" customHeight="1">
      <c r="A6" s="32" t="e">
        <f ca="1"/>
        <v>#NAME?</v>
      </c>
      <c r="B6" s="33" t="str">
        <f ca="1">IFERROR(__xludf.DUMMYFUNCTION("""COMPUTED_VALUE"""),"")</f>
        <v/>
      </c>
      <c r="C6" s="34" t="e">
        <f ca="1"/>
        <v>#NAME?</v>
      </c>
      <c r="D6" s="35" t="str">
        <f ca="1">IFERROR(__xludf.DUMMYFUNCTION("""COMPUTED_VALUE"""),"שכר מדריכים")</f>
        <v>שכר מדריכים</v>
      </c>
      <c r="E6" s="34" t="e">
        <f ca="1"/>
        <v>#NAME?</v>
      </c>
      <c r="F6" s="34" t="e">
        <f ca="1"/>
        <v>#NAME?</v>
      </c>
    </row>
    <row r="7" spans="1:6" ht="39.049999999999997" customHeight="1">
      <c r="A7" s="32" t="e">
        <f ca="1"/>
        <v>#NAME?</v>
      </c>
      <c r="B7" s="33" t="str">
        <f ca="1">IFERROR(__xludf.DUMMYFUNCTION("""COMPUTED_VALUE"""),"")</f>
        <v/>
      </c>
      <c r="C7" s="34" t="e">
        <f ca="1"/>
        <v>#NAME?</v>
      </c>
      <c r="D7" s="35" t="str">
        <f ca="1">IFERROR(__xludf.DUMMYFUNCTION("""COMPUTED_VALUE"""),"")</f>
        <v/>
      </c>
      <c r="E7" s="34" t="e">
        <f ca="1"/>
        <v>#NAME?</v>
      </c>
      <c r="F7" s="34" t="e">
        <f ca="1"/>
        <v>#NAME?</v>
      </c>
    </row>
    <row r="8" spans="1:6" ht="39.049999999999997" customHeight="1">
      <c r="A8" s="32" t="e">
        <f ca="1"/>
        <v>#NAME?</v>
      </c>
      <c r="B8" s="33" t="str">
        <f ca="1">IFERROR(__xludf.DUMMYFUNCTION("""COMPUTED_VALUE"""),"")</f>
        <v/>
      </c>
      <c r="C8" s="34" t="e">
        <f ca="1"/>
        <v>#NAME?</v>
      </c>
      <c r="D8" s="35" t="str">
        <f ca="1">IFERROR(__xludf.DUMMYFUNCTION("""COMPUTED_VALUE"""),"")</f>
        <v/>
      </c>
      <c r="E8" s="34" t="e">
        <f ca="1"/>
        <v>#NAME?</v>
      </c>
      <c r="F8" s="34" t="e">
        <f ca="1"/>
        <v>#NAME?</v>
      </c>
    </row>
    <row r="9" spans="1:6" ht="39.049999999999997" customHeight="1">
      <c r="A9" s="32" t="e">
        <f ca="1"/>
        <v>#NAME?</v>
      </c>
      <c r="B9" s="33" t="str">
        <f ca="1">IFERROR(__xludf.DUMMYFUNCTION("""COMPUTED_VALUE"""),"")</f>
        <v/>
      </c>
      <c r="C9" s="34" t="e">
        <f ca="1"/>
        <v>#NAME?</v>
      </c>
      <c r="D9" s="35" t="str">
        <f ca="1">IFERROR(__xludf.DUMMYFUNCTION("""COMPUTED_VALUE"""),"")</f>
        <v/>
      </c>
      <c r="E9" s="34" t="e">
        <f ca="1"/>
        <v>#NAME?</v>
      </c>
      <c r="F9" s="34" t="e">
        <f ca="1"/>
        <v>#NAME?</v>
      </c>
    </row>
    <row r="10" spans="1:6" ht="39.049999999999997" customHeight="1">
      <c r="A10" s="32" t="e">
        <f ca="1"/>
        <v>#NAME?</v>
      </c>
      <c r="B10" s="33" t="str">
        <f ca="1">IFERROR(__xludf.DUMMYFUNCTION("""COMPUTED_VALUE"""),"")</f>
        <v/>
      </c>
      <c r="C10" s="34" t="e">
        <f ca="1"/>
        <v>#NAME?</v>
      </c>
      <c r="D10" s="35" t="str">
        <f ca="1">IFERROR(__xludf.DUMMYFUNCTION("""COMPUTED_VALUE"""),"")</f>
        <v/>
      </c>
      <c r="E10" s="34" t="e">
        <f ca="1"/>
        <v>#NAME?</v>
      </c>
      <c r="F10" s="34" t="e">
        <f ca="1"/>
        <v>#NAME?</v>
      </c>
    </row>
    <row r="11" spans="1:6" ht="39.049999999999997" customHeight="1">
      <c r="A11" s="32" t="e">
        <f ca="1"/>
        <v>#NAME?</v>
      </c>
      <c r="B11" s="33" t="str">
        <f ca="1">IFERROR(__xludf.DUMMYFUNCTION("""COMPUTED_VALUE"""),"גפן")</f>
        <v>גפן</v>
      </c>
      <c r="C11" s="34" t="e">
        <f ca="1"/>
        <v>#NAME?</v>
      </c>
      <c r="D11" s="35" t="str">
        <f ca="1">IFERROR(__xludf.DUMMYFUNCTION("""COMPUTED_VALUE"""),"משפטיות, ביטוח, פעילויות")</f>
        <v>משפטיות, ביטוח, פעילויות</v>
      </c>
      <c r="E11" s="34" t="e">
        <f ca="1"/>
        <v>#NAME?</v>
      </c>
      <c r="F11" s="34" t="e">
        <f ca="1"/>
        <v>#NAME?</v>
      </c>
    </row>
    <row r="12" spans="1:6" ht="39.049999999999997" customHeight="1">
      <c r="A12" s="32" t="e">
        <f ca="1"/>
        <v>#NAME?</v>
      </c>
      <c r="B12" s="33" t="str">
        <f ca="1">IFERROR(__xludf.DUMMYFUNCTION("""COMPUTED_VALUE"""),"")</f>
        <v/>
      </c>
      <c r="C12" s="34" t="e">
        <f ca="1"/>
        <v>#NAME?</v>
      </c>
      <c r="D12" s="35" t="str">
        <f ca="1">IFERROR(__xludf.DUMMYFUNCTION("""COMPUTED_VALUE"""),"")</f>
        <v/>
      </c>
      <c r="E12" s="34" t="e">
        <f ca="1"/>
        <v>#NAME?</v>
      </c>
      <c r="F12" s="34" t="e">
        <f ca="1"/>
        <v>#NAME?</v>
      </c>
    </row>
    <row r="13" spans="1:6" ht="39.049999999999997" customHeight="1">
      <c r="A13" s="32" t="e">
        <f ca="1"/>
        <v>#NAME?</v>
      </c>
      <c r="B13" s="33" t="str">
        <f ca="1">IFERROR(__xludf.DUMMYFUNCTION("""COMPUTED_VALUE"""),"")</f>
        <v/>
      </c>
      <c r="C13" s="34" t="e">
        <f ca="1"/>
        <v>#NAME?</v>
      </c>
      <c r="D13" s="35" t="str">
        <f ca="1">IFERROR(__xludf.DUMMYFUNCTION("""COMPUTED_VALUE"""),"נלוות לשכר")</f>
        <v>נלוות לשכר</v>
      </c>
      <c r="E13" s="34" t="e">
        <f ca="1"/>
        <v>#NAME?</v>
      </c>
      <c r="F13" s="34" t="e">
        <f ca="1"/>
        <v>#NAME?</v>
      </c>
    </row>
    <row r="14" spans="1:6" ht="39.049999999999997" customHeight="1">
      <c r="A14" s="32" t="e">
        <f ca="1"/>
        <v>#NAME?</v>
      </c>
      <c r="B14" s="33" t="str">
        <f ca="1">IFERROR(__xludf.DUMMYFUNCTION("""COMPUTED_VALUE"""),"")</f>
        <v/>
      </c>
      <c r="C14" s="34" t="e">
        <f ca="1"/>
        <v>#NAME?</v>
      </c>
      <c r="D14" s="35" t="str">
        <f ca="1">IFERROR(__xludf.DUMMYFUNCTION("""COMPUTED_VALUE"""),"")</f>
        <v/>
      </c>
      <c r="E14" s="34" t="e">
        <f ca="1"/>
        <v>#NAME?</v>
      </c>
      <c r="F14" s="34" t="e">
        <f ca="1"/>
        <v>#NAME?</v>
      </c>
    </row>
    <row r="15" spans="1:6" ht="39.049999999999997" customHeight="1">
      <c r="A15" s="32" t="e">
        <f ca="1"/>
        <v>#NAME?</v>
      </c>
      <c r="B15" s="33" t="str">
        <f ca="1">IFERROR(__xludf.DUMMYFUNCTION("""COMPUTED_VALUE"""),"")</f>
        <v/>
      </c>
      <c r="C15" s="34" t="e">
        <f ca="1"/>
        <v>#NAME?</v>
      </c>
      <c r="D15" s="35" t="str">
        <f ca="1">IFERROR(__xludf.DUMMYFUNCTION("""COMPUTED_VALUE"""),"שכר מדריכים")</f>
        <v>שכר מדריכים</v>
      </c>
      <c r="E15" s="34" t="e">
        <f ca="1"/>
        <v>#NAME?</v>
      </c>
      <c r="F15" s="34" t="e">
        <f ca="1"/>
        <v>#NAME?</v>
      </c>
    </row>
    <row r="16" spans="1:6" ht="39.049999999999997" customHeight="1">
      <c r="A16" s="32" t="e">
        <f ca="1"/>
        <v>#NAME?</v>
      </c>
      <c r="B16" s="33" t="str">
        <f ca="1">IFERROR(__xludf.DUMMYFUNCTION("""COMPUTED_VALUE"""),"גפן, תעשיינים, מקורות, מתנ""ס, סיורים, רשות")</f>
        <v>גפן, תעשיינים, מקורות, מתנ"ס, סיורים, רשות</v>
      </c>
      <c r="C16" s="34" t="e">
        <f ca="1"/>
        <v>#NAME?</v>
      </c>
      <c r="D16" s="35" t="str">
        <f ca="1">IFERROR(__xludf.DUMMYFUNCTION("""COMPUTED_VALUE"""),"עמלות (יעל אביב)")</f>
        <v>עמלות (יעל אביב)</v>
      </c>
      <c r="E16" s="34" t="e">
        <f ca="1"/>
        <v>#NAME?</v>
      </c>
      <c r="F16" s="34" t="e">
        <f ca="1"/>
        <v>#NAME?</v>
      </c>
    </row>
    <row r="17" spans="1:6" ht="39.049999999999997" customHeight="1">
      <c r="A17" s="32" t="e">
        <f ca="1"/>
        <v>#NAME?</v>
      </c>
      <c r="B17" s="33" t="str">
        <f ca="1">IFERROR(__xludf.DUMMYFUNCTION("""COMPUTED_VALUE"""),"")</f>
        <v/>
      </c>
      <c r="C17" s="34" t="e">
        <f ca="1"/>
        <v>#NAME?</v>
      </c>
      <c r="D17" s="35" t="str">
        <f ca="1">IFERROR(__xludf.DUMMYFUNCTION("""COMPUTED_VALUE"""),"")</f>
        <v/>
      </c>
      <c r="E17" s="34" t="e">
        <f ca="1"/>
        <v>#NAME?</v>
      </c>
      <c r="F17" s="34" t="e">
        <f ca="1"/>
        <v>#NAME?</v>
      </c>
    </row>
    <row r="18" spans="1:6" ht="39.049999999999997" customHeight="1">
      <c r="A18" s="32" t="e">
        <f ca="1"/>
        <v>#NAME?</v>
      </c>
      <c r="B18" s="33" t="str">
        <f ca="1">IFERROR(__xludf.DUMMYFUNCTION("""COMPUTED_VALUE"""),"")</f>
        <v/>
      </c>
      <c r="C18" s="34" t="e">
        <f ca="1"/>
        <v>#NAME?</v>
      </c>
      <c r="D18" s="35" t="str">
        <f ca="1">IFERROR(__xludf.DUMMYFUNCTION("""COMPUTED_VALUE"""),"")</f>
        <v/>
      </c>
      <c r="E18" s="34" t="e">
        <f ca="1"/>
        <v>#NAME?</v>
      </c>
      <c r="F18" s="34" t="e">
        <f ca="1"/>
        <v>#NAME?</v>
      </c>
    </row>
    <row r="19" spans="1:6" ht="39.049999999999997" customHeight="1">
      <c r="A19" s="32" t="e">
        <f ca="1"/>
        <v>#NAME?</v>
      </c>
      <c r="B19" s="33" t="str">
        <f ca="1">IFERROR(__xludf.DUMMYFUNCTION("""COMPUTED_VALUE"""),"גפן")</f>
        <v>גפן</v>
      </c>
      <c r="C19" s="34" t="e">
        <f ca="1"/>
        <v>#NAME?</v>
      </c>
      <c r="D19" s="35" t="str">
        <f ca="1">IFERROR(__xludf.DUMMYFUNCTION("""COMPUTED_VALUE"""),"פעילויות, אגרות ובנקים, משרדיות, עובדים")</f>
        <v>פעילויות, אגרות ובנקים, משרדיות, עובדים</v>
      </c>
      <c r="E19" s="34" t="e">
        <f ca="1"/>
        <v>#NAME?</v>
      </c>
      <c r="F19" s="34" t="e">
        <f ca="1"/>
        <v>#NAME?</v>
      </c>
    </row>
    <row r="20" spans="1:6" ht="39.049999999999997" customHeight="1">
      <c r="A20" s="32" t="e">
        <f ca="1"/>
        <v>#NAME?</v>
      </c>
      <c r="B20" s="33" t="str">
        <f ca="1">IFERROR(__xludf.DUMMYFUNCTION("""COMPUTED_VALUE"""),"")</f>
        <v/>
      </c>
      <c r="C20" s="34" t="e">
        <f ca="1"/>
        <v>#NAME?</v>
      </c>
      <c r="D20" s="35" t="str">
        <f ca="1">IFERROR(__xludf.DUMMYFUNCTION("""COMPUTED_VALUE"""),"")</f>
        <v/>
      </c>
      <c r="E20" s="34" t="e">
        <f ca="1"/>
        <v>#NAME?</v>
      </c>
      <c r="F20" s="34" t="e">
        <f ca="1"/>
        <v>#NAME?</v>
      </c>
    </row>
    <row r="21" spans="1:6" ht="39.049999999999997" customHeight="1">
      <c r="A21" s="32" t="e">
        <f ca="1"/>
        <v>#NAME?</v>
      </c>
      <c r="B21" s="33" t="str">
        <f ca="1">IFERROR(__xludf.DUMMYFUNCTION("""COMPUTED_VALUE"""),"")</f>
        <v/>
      </c>
      <c r="C21" s="34" t="e">
        <f ca="1"/>
        <v>#NAME?</v>
      </c>
      <c r="D21" s="35" t="str">
        <f ca="1">IFERROR(__xludf.DUMMYFUNCTION("""COMPUTED_VALUE"""),"נלוות לשכר")</f>
        <v>נלוות לשכר</v>
      </c>
      <c r="E21" s="34" t="e">
        <f ca="1"/>
        <v>#NAME?</v>
      </c>
      <c r="F21" s="34" t="e">
        <f ca="1"/>
        <v>#NAME?</v>
      </c>
    </row>
    <row r="22" spans="1:6" ht="39.049999999999997" customHeight="1">
      <c r="A22" s="32" t="e">
        <f ca="1"/>
        <v>#NAME?</v>
      </c>
      <c r="B22" s="33" t="str">
        <f ca="1">IFERROR(__xludf.DUMMYFUNCTION("""COMPUTED_VALUE"""),"")</f>
        <v/>
      </c>
      <c r="C22" s="34" t="e">
        <f ca="1"/>
        <v>#NAME?</v>
      </c>
      <c r="D22" s="35" t="str">
        <f ca="1">IFERROR(__xludf.DUMMYFUNCTION("""COMPUTED_VALUE"""),"")</f>
        <v/>
      </c>
      <c r="E22" s="34" t="e">
        <f ca="1"/>
        <v>#NAME?</v>
      </c>
      <c r="F22" s="34" t="e">
        <f ca="1"/>
        <v>#NAME?</v>
      </c>
    </row>
    <row r="23" spans="1:6" ht="39.049999999999997" customHeight="1">
      <c r="A23" s="32" t="e">
        <f ca="1"/>
        <v>#NAME?</v>
      </c>
      <c r="B23" s="33" t="str">
        <f ca="1">IFERROR(__xludf.DUMMYFUNCTION("""COMPUTED_VALUE"""),"")</f>
        <v/>
      </c>
      <c r="C23" s="34" t="e">
        <f ca="1"/>
        <v>#NAME?</v>
      </c>
      <c r="D23" s="35" t="str">
        <f ca="1">IFERROR(__xludf.DUMMYFUNCTION("""COMPUTED_VALUE"""),"הלוואה")</f>
        <v>הלוואה</v>
      </c>
      <c r="E23" s="34" t="e">
        <f ca="1"/>
        <v>#NAME?</v>
      </c>
      <c r="F23" s="34" t="e">
        <f ca="1"/>
        <v>#NAME?</v>
      </c>
    </row>
    <row r="24" spans="1:6" ht="39.049999999999997" customHeight="1">
      <c r="A24" s="32" t="e">
        <f ca="1"/>
        <v>#NAME?</v>
      </c>
      <c r="B24" s="33" t="str">
        <f ca="1">IFERROR(__xludf.DUMMYFUNCTION("""COMPUTED_VALUE"""),"גפן")</f>
        <v>גפן</v>
      </c>
      <c r="C24" s="34" t="e">
        <f ca="1"/>
        <v>#NAME?</v>
      </c>
      <c r="D24" s="35" t="str">
        <f ca="1">IFERROR(__xludf.DUMMYFUNCTION("""COMPUTED_VALUE"""),"")</f>
        <v/>
      </c>
      <c r="E24" s="34" t="e">
        <f ca="1"/>
        <v>#NAME?</v>
      </c>
      <c r="F24" s="34" t="e">
        <f ca="1"/>
        <v>#NAME?</v>
      </c>
    </row>
    <row r="25" spans="1:6" ht="39.049999999999997" customHeight="1">
      <c r="A25" s="32" t="e">
        <f ca="1"/>
        <v>#NAME?</v>
      </c>
      <c r="B25" s="33" t="str">
        <f ca="1">IFERROR(__xludf.DUMMYFUNCTION("""COMPUTED_VALUE"""),"גפן")</f>
        <v>גפן</v>
      </c>
      <c r="C25" s="34" t="e">
        <f ca="1"/>
        <v>#NAME?</v>
      </c>
      <c r="D25" s="35" t="str">
        <f ca="1">IFERROR(__xludf.DUMMYFUNCTION("""COMPUTED_VALUE"""),"")</f>
        <v/>
      </c>
      <c r="E25" s="34" t="e">
        <f ca="1"/>
        <v>#NAME?</v>
      </c>
      <c r="F25" s="34" t="e">
        <f ca="1"/>
        <v>#NAME?</v>
      </c>
    </row>
    <row r="26" spans="1:6" ht="39.049999999999997" customHeight="1">
      <c r="A26" s="32" t="e">
        <f ca="1"/>
        <v>#NAME?</v>
      </c>
      <c r="B26" s="33" t="str">
        <f ca="1">IFERROR(__xludf.DUMMYFUNCTION("""COMPUTED_VALUE"""),"")</f>
        <v/>
      </c>
      <c r="C26" s="34" t="e">
        <f ca="1"/>
        <v>#NAME?</v>
      </c>
      <c r="D26" s="35" t="str">
        <f ca="1">IFERROR(__xludf.DUMMYFUNCTION("""COMPUTED_VALUE"""),"")</f>
        <v/>
      </c>
      <c r="E26" s="34" t="e">
        <f ca="1"/>
        <v>#NAME?</v>
      </c>
      <c r="F26" s="34" t="e">
        <f ca="1"/>
        <v>#NAME?</v>
      </c>
    </row>
    <row r="27" spans="1:6" ht="39.049999999999997" customHeight="1">
      <c r="A27" s="32" t="e">
        <f ca="1"/>
        <v>#NAME?</v>
      </c>
      <c r="B27" s="33" t="str">
        <f ca="1">IFERROR(__xludf.DUMMYFUNCTION("""COMPUTED_VALUE"""),"")</f>
        <v/>
      </c>
      <c r="C27" s="34" t="e">
        <f ca="1"/>
        <v>#NAME?</v>
      </c>
      <c r="D27" s="35" t="str">
        <f ca="1">IFERROR(__xludf.DUMMYFUNCTION("""COMPUTED_VALUE"""),"")</f>
        <v/>
      </c>
      <c r="E27" s="34" t="e">
        <f ca="1"/>
        <v>#NAME?</v>
      </c>
      <c r="F27" s="34" t="e">
        <f ca="1"/>
        <v>#NAME?</v>
      </c>
    </row>
    <row r="28" spans="1:6" ht="39.049999999999997" customHeight="1">
      <c r="A28" s="32" t="e">
        <f ca="1"/>
        <v>#NAME?</v>
      </c>
      <c r="B28" s="33" t="str">
        <f ca="1">IFERROR(__xludf.DUMMYFUNCTION("""COMPUTED_VALUE"""),"")</f>
        <v/>
      </c>
      <c r="C28" s="34" t="e">
        <f ca="1"/>
        <v>#NAME?</v>
      </c>
      <c r="D28" s="35" t="str">
        <f ca="1">IFERROR(__xludf.DUMMYFUNCTION("""COMPUTED_VALUE"""),"")</f>
        <v/>
      </c>
      <c r="E28" s="34" t="e">
        <f ca="1"/>
        <v>#NAME?</v>
      </c>
      <c r="F28" s="34" t="e">
        <f ca="1"/>
        <v>#NAME?</v>
      </c>
    </row>
    <row r="29" spans="1:6" ht="39.049999999999997" customHeight="1">
      <c r="A29" s="32" t="e">
        <f ca="1"/>
        <v>#NAME?</v>
      </c>
      <c r="B29" s="33" t="str">
        <f ca="1">IFERROR(__xludf.DUMMYFUNCTION("""COMPUTED_VALUE"""),"")</f>
        <v/>
      </c>
      <c r="C29" s="34" t="e">
        <f ca="1"/>
        <v>#NAME?</v>
      </c>
      <c r="D29" s="35" t="str">
        <f ca="1">IFERROR(__xludf.DUMMYFUNCTION("""COMPUTED_VALUE"""),"חובות ישנים")</f>
        <v>חובות ישנים</v>
      </c>
      <c r="E29" s="34" t="e">
        <f ca="1"/>
        <v>#NAME?</v>
      </c>
      <c r="F29" s="34" t="e">
        <f ca="1"/>
        <v>#NAME?</v>
      </c>
    </row>
    <row r="30" spans="1:6" ht="39.049999999999997" customHeight="1">
      <c r="A30" s="32" t="e">
        <f ca="1"/>
        <v>#NAME?</v>
      </c>
      <c r="B30" s="33" t="str">
        <f ca="1">IFERROR(__xludf.DUMMYFUNCTION("""COMPUTED_VALUE"""),"")</f>
        <v/>
      </c>
      <c r="C30" s="34" t="e">
        <f ca="1"/>
        <v>#NAME?</v>
      </c>
      <c r="D30" s="35" t="str">
        <f ca="1">IFERROR(__xludf.DUMMYFUNCTION("""COMPUTED_VALUE"""),"")</f>
        <v/>
      </c>
      <c r="E30" s="34" t="e">
        <f ca="1"/>
        <v>#NAME?</v>
      </c>
      <c r="F30" s="34" t="e">
        <f ca="1"/>
        <v>#NAME?</v>
      </c>
    </row>
    <row r="31" spans="1:6" ht="39.049999999999997" customHeight="1">
      <c r="A31" s="32" t="e">
        <f ca="1"/>
        <v>#NAME?</v>
      </c>
      <c r="B31" s="33" t="str">
        <f ca="1">IFERROR(__xludf.DUMMYFUNCTION("""COMPUTED_VALUE"""),"")</f>
        <v/>
      </c>
      <c r="C31" s="34" t="e">
        <f ca="1"/>
        <v>#NAME?</v>
      </c>
      <c r="D31" s="35" t="str">
        <f ca="1">IFERROR(__xludf.DUMMYFUNCTION("""COMPUTED_VALUE"""),"תקשורת, פעילויות, נותני שירות, משרדיות")</f>
        <v>תקשורת, פעילויות, נותני שירות, משרדיות</v>
      </c>
      <c r="E31" s="34" t="e">
        <f ca="1"/>
        <v>#NAME?</v>
      </c>
      <c r="F31" s="34" t="e">
        <f ca="1"/>
        <v>#NAME?</v>
      </c>
    </row>
    <row r="32" spans="1:6" ht="39.049999999999997" customHeight="1">
      <c r="A32" s="32" t="e">
        <f ca="1"/>
        <v>#NAME?</v>
      </c>
      <c r="B32" s="33" t="str">
        <f ca="1">IFERROR(__xludf.DUMMYFUNCTION("""COMPUTED_VALUE"""),"")</f>
        <v/>
      </c>
      <c r="C32" s="34" t="e">
        <f ca="1"/>
        <v>#NAME?</v>
      </c>
      <c r="D32" s="35" t="str">
        <f ca="1">IFERROR(__xludf.DUMMYFUNCTION("""COMPUTED_VALUE"""),"")</f>
        <v/>
      </c>
      <c r="E32" s="34" t="e">
        <f ca="1"/>
        <v>#NAME?</v>
      </c>
      <c r="F32" s="34" t="e">
        <f ca="1"/>
        <v>#NAME?</v>
      </c>
    </row>
    <row r="33" spans="1:6" ht="39.049999999999997" customHeight="1">
      <c r="A33" s="32" t="e">
        <f ca="1"/>
        <v>#NAME?</v>
      </c>
      <c r="B33" s="33" t="str">
        <f ca="1">IFERROR(__xludf.DUMMYFUNCTION("""COMPUTED_VALUE"""),"גפן, תמיר, תעשיינים, רשות")</f>
        <v>גפן, תמיר, תעשיינים, רשות</v>
      </c>
      <c r="C33" s="34" t="e">
        <f ca="1"/>
        <v>#NAME?</v>
      </c>
      <c r="D33" s="35" t="str">
        <f ca="1">IFERROR(__xludf.DUMMYFUNCTION("""COMPUTED_VALUE"""),"שכר")</f>
        <v>שכר</v>
      </c>
      <c r="E33" s="34" t="e">
        <f ca="1"/>
        <v>#NAME?</v>
      </c>
      <c r="F33" s="34" t="e">
        <f ca="1"/>
        <v>#NAME?</v>
      </c>
    </row>
    <row r="34" spans="1:6" ht="39.049999999999997" customHeight="1">
      <c r="A34" s="32" t="e">
        <f ca="1"/>
        <v>#NAME?</v>
      </c>
      <c r="B34" s="33" t="str">
        <f ca="1">IFERROR(__xludf.DUMMYFUNCTION("""COMPUTED_VALUE"""),"")</f>
        <v/>
      </c>
      <c r="C34" s="34" t="e">
        <f ca="1"/>
        <v>#NAME?</v>
      </c>
      <c r="D34" s="35" t="str">
        <f ca="1">IFERROR(__xludf.DUMMYFUNCTION("""COMPUTED_VALUE"""),"תקשורת, אגרות ובנקים")</f>
        <v>תקשורת, אגרות ובנקים</v>
      </c>
      <c r="E34" s="34" t="e">
        <f ca="1"/>
        <v>#NAME?</v>
      </c>
      <c r="F34" s="34" t="e">
        <f ca="1"/>
        <v>#NAME?</v>
      </c>
    </row>
    <row r="35" spans="1:6" ht="39.049999999999997" customHeight="1">
      <c r="A35" s="32" t="e">
        <f ca="1"/>
        <v>#NAME?</v>
      </c>
      <c r="B35" s="33" t="str">
        <f ca="1">IFERROR(__xludf.DUMMYFUNCTION("""COMPUTED_VALUE"""),"")</f>
        <v/>
      </c>
      <c r="C35" s="34" t="e">
        <f ca="1"/>
        <v>#NAME?</v>
      </c>
      <c r="D35" s="35" t="str">
        <f ca="1">IFERROR(__xludf.DUMMYFUNCTION("""COMPUTED_VALUE"""),"")</f>
        <v/>
      </c>
      <c r="E35" s="34" t="e">
        <f ca="1"/>
        <v>#NAME?</v>
      </c>
      <c r="F35" s="34" t="e">
        <f ca="1"/>
        <v>#NAME?</v>
      </c>
    </row>
    <row r="36" spans="1:6" ht="39.049999999999997" customHeight="1">
      <c r="A36" s="32" t="e">
        <f ca="1"/>
        <v>#NAME?</v>
      </c>
      <c r="B36" s="33" t="str">
        <f ca="1">IFERROR(__xludf.DUMMYFUNCTION("""COMPUTED_VALUE"""),"")</f>
        <v/>
      </c>
      <c r="C36" s="34" t="e">
        <f ca="1"/>
        <v>#NAME?</v>
      </c>
      <c r="D36" s="35" t="str">
        <f ca="1">IFERROR(__xludf.DUMMYFUNCTION("""COMPUTED_VALUE"""),"")</f>
        <v/>
      </c>
      <c r="E36" s="34" t="e">
        <f ca="1"/>
        <v>#NAME?</v>
      </c>
      <c r="F36" s="34" t="e">
        <f ca="1"/>
        <v>#NAME?</v>
      </c>
    </row>
    <row r="37" spans="1:6" ht="39.049999999999997" customHeight="1">
      <c r="A37" s="32" t="e">
        <f ca="1"/>
        <v>#NAME?</v>
      </c>
      <c r="B37" s="33" t="str">
        <f ca="1">IFERROR(__xludf.DUMMYFUNCTION("""COMPUTED_VALUE"""),"")</f>
        <v/>
      </c>
      <c r="C37" s="34" t="e">
        <f ca="1"/>
        <v>#NAME?</v>
      </c>
      <c r="D37" s="35" t="str">
        <f ca="1">IFERROR(__xludf.DUMMYFUNCTION("""COMPUTED_VALUE"""),"שכר מדריכים")</f>
        <v>שכר מדריכים</v>
      </c>
      <c r="E37" s="34" t="e">
        <f ca="1"/>
        <v>#NAME?</v>
      </c>
      <c r="F37" s="34" t="e">
        <f ca="1"/>
        <v>#NAME?</v>
      </c>
    </row>
    <row r="38" spans="1:6" ht="39.049999999999997" customHeight="1">
      <c r="A38" s="32" t="e">
        <f ca="1"/>
        <v>#NAME?</v>
      </c>
      <c r="B38" s="33" t="str">
        <f ca="1">IFERROR(__xludf.DUMMYFUNCTION("""COMPUTED_VALUE"""),"")</f>
        <v/>
      </c>
      <c r="C38" s="34" t="e">
        <f ca="1"/>
        <v>#NAME?</v>
      </c>
      <c r="D38" s="35" t="str">
        <f ca="1">IFERROR(__xludf.DUMMYFUNCTION("""COMPUTED_VALUE"""),"")</f>
        <v/>
      </c>
      <c r="E38" s="34" t="e">
        <f ca="1"/>
        <v>#NAME?</v>
      </c>
      <c r="F38" s="34" t="e">
        <f ca="1"/>
        <v>#NAME?</v>
      </c>
    </row>
    <row r="39" spans="1:6" ht="39.049999999999997" customHeight="1">
      <c r="A39" s="32" t="e">
        <f ca="1"/>
        <v>#NAME?</v>
      </c>
      <c r="B39" s="33" t="str">
        <f ca="1">IFERROR(__xludf.DUMMYFUNCTION("""COMPUTED_VALUE"""),"")</f>
        <v/>
      </c>
      <c r="C39" s="34" t="e">
        <f ca="1"/>
        <v>#NAME?</v>
      </c>
      <c r="D39" s="35" t="str">
        <f ca="1">IFERROR(__xludf.DUMMYFUNCTION("""COMPUTED_VALUE"""),"")</f>
        <v/>
      </c>
      <c r="E39" s="34" t="e">
        <f ca="1"/>
        <v>#NAME?</v>
      </c>
      <c r="F39" s="34" t="e">
        <f ca="1"/>
        <v>#NAME?</v>
      </c>
    </row>
    <row r="40" spans="1:6" ht="39.049999999999997" customHeight="1">
      <c r="A40" s="32" t="e">
        <f ca="1"/>
        <v>#NAME?</v>
      </c>
      <c r="B40" s="33" t="str">
        <f ca="1">IFERROR(__xludf.DUMMYFUNCTION("""COMPUTED_VALUE"""),"")</f>
        <v/>
      </c>
      <c r="C40" s="34" t="e">
        <f ca="1"/>
        <v>#NAME?</v>
      </c>
      <c r="D40" s="35" t="str">
        <f ca="1">IFERROR(__xludf.DUMMYFUNCTION("""COMPUTED_VALUE"""),"")</f>
        <v/>
      </c>
      <c r="E40" s="34" t="e">
        <f ca="1"/>
        <v>#NAME?</v>
      </c>
      <c r="F40" s="34" t="e">
        <f ca="1"/>
        <v>#NAME?</v>
      </c>
    </row>
    <row r="41" spans="1:6" ht="39.049999999999997" customHeight="1">
      <c r="A41" s="32" t="e">
        <f ca="1"/>
        <v>#NAME?</v>
      </c>
      <c r="B41" s="33" t="str">
        <f ca="1">IFERROR(__xludf.DUMMYFUNCTION("""COMPUTED_VALUE"""),"")</f>
        <v/>
      </c>
      <c r="C41" s="34" t="e">
        <f ca="1"/>
        <v>#NAME?</v>
      </c>
      <c r="D41" s="35" t="str">
        <f ca="1">IFERROR(__xludf.DUMMYFUNCTION("""COMPUTED_VALUE"""),"")</f>
        <v/>
      </c>
      <c r="E41" s="34" t="e">
        <f ca="1"/>
        <v>#NAME?</v>
      </c>
      <c r="F41" s="34" t="e">
        <f ca="1"/>
        <v>#NAME?</v>
      </c>
    </row>
    <row r="42" spans="1:6" ht="39.049999999999997" customHeight="1">
      <c r="A42" s="32" t="e">
        <f ca="1"/>
        <v>#NAME?</v>
      </c>
      <c r="B42" s="33" t="str">
        <f ca="1">IFERROR(__xludf.DUMMYFUNCTION("""COMPUTED_VALUE"""),"תעשיינים")</f>
        <v>תעשיינים</v>
      </c>
      <c r="C42" s="34" t="e">
        <f ca="1"/>
        <v>#NAME?</v>
      </c>
      <c r="D42" s="35" t="str">
        <f ca="1">IFERROR(__xludf.DUMMYFUNCTION("""COMPUTED_VALUE"""),"משפטיות, ביטוח, פעילויות")</f>
        <v>משפטיות, ביטוח, פעילויות</v>
      </c>
      <c r="E42" s="34" t="e">
        <f ca="1"/>
        <v>#NAME?</v>
      </c>
      <c r="F42" s="34" t="e">
        <f ca="1"/>
        <v>#NAME?</v>
      </c>
    </row>
    <row r="43" spans="1:6" ht="39.049999999999997" customHeight="1">
      <c r="A43" s="32" t="e">
        <f ca="1"/>
        <v>#NAME?</v>
      </c>
      <c r="B43" s="33" t="str">
        <f ca="1">IFERROR(__xludf.DUMMYFUNCTION("""COMPUTED_VALUE"""),"")</f>
        <v/>
      </c>
      <c r="C43" s="34" t="e">
        <f ca="1"/>
        <v>#NAME?</v>
      </c>
      <c r="D43" s="35" t="str">
        <f ca="1">IFERROR(__xludf.DUMMYFUNCTION("""COMPUTED_VALUE"""),"")</f>
        <v/>
      </c>
      <c r="E43" s="34" t="e">
        <f ca="1"/>
        <v>#NAME?</v>
      </c>
      <c r="F43" s="34" t="e">
        <f ca="1"/>
        <v>#NAME?</v>
      </c>
    </row>
    <row r="44" spans="1:6" ht="39.049999999999997" customHeight="1">
      <c r="A44" s="32" t="e">
        <f ca="1"/>
        <v>#NAME?</v>
      </c>
      <c r="B44" s="33" t="str">
        <f ca="1">IFERROR(__xludf.DUMMYFUNCTION("""COMPUTED_VALUE"""),"")</f>
        <v/>
      </c>
      <c r="C44" s="34" t="e">
        <f ca="1"/>
        <v>#NAME?</v>
      </c>
      <c r="D44" s="35" t="str">
        <f ca="1">IFERROR(__xludf.DUMMYFUNCTION("""COMPUTED_VALUE"""),"נלוות לשכר")</f>
        <v>נלוות לשכר</v>
      </c>
      <c r="E44" s="34" t="e">
        <f ca="1"/>
        <v>#NAME?</v>
      </c>
      <c r="F44" s="34" t="e">
        <f ca="1"/>
        <v>#NAME?</v>
      </c>
    </row>
    <row r="45" spans="1:6" ht="39.049999999999997" customHeight="1">
      <c r="A45" s="32" t="e">
        <f ca="1"/>
        <v>#NAME?</v>
      </c>
      <c r="B45" s="33" t="str">
        <f ca="1">IFERROR(__xludf.DUMMYFUNCTION("""COMPUTED_VALUE"""),"")</f>
        <v/>
      </c>
      <c r="C45" s="34" t="e">
        <f ca="1"/>
        <v>#NAME?</v>
      </c>
      <c r="D45" s="35" t="str">
        <f ca="1">IFERROR(__xludf.DUMMYFUNCTION("""COMPUTED_VALUE"""),"")</f>
        <v/>
      </c>
      <c r="E45" s="34" t="e">
        <f ca="1"/>
        <v>#NAME?</v>
      </c>
      <c r="F45" s="34" t="e">
        <f ca="1"/>
        <v>#NAME?</v>
      </c>
    </row>
    <row r="46" spans="1:6" ht="39.049999999999997" customHeight="1">
      <c r="A46" s="32" t="e">
        <f ca="1"/>
        <v>#NAME?</v>
      </c>
      <c r="B46" s="33" t="str">
        <f ca="1">IFERROR(__xludf.DUMMYFUNCTION("""COMPUTED_VALUE"""),"")</f>
        <v/>
      </c>
      <c r="C46" s="34" t="e">
        <f ca="1"/>
        <v>#NAME?</v>
      </c>
      <c r="D46" s="35" t="str">
        <f ca="1">IFERROR(__xludf.DUMMYFUNCTION("""COMPUTED_VALUE"""),"שכר מדריכים")</f>
        <v>שכר מדריכים</v>
      </c>
      <c r="E46" s="34" t="e">
        <f ca="1"/>
        <v>#NAME?</v>
      </c>
      <c r="F46" s="34" t="e">
        <f ca="1"/>
        <v>#NAME?</v>
      </c>
    </row>
    <row r="47" spans="1:6" ht="39.049999999999997" customHeight="1">
      <c r="A47" s="32" t="e">
        <f ca="1"/>
        <v>#NAME?</v>
      </c>
      <c r="B47" s="33" t="str">
        <f ca="1">IFERROR(__xludf.DUMMYFUNCTION("""COMPUTED_VALUE"""),"גפן, ויצו")</f>
        <v>גפן, ויצו</v>
      </c>
      <c r="C47" s="34" t="e">
        <f ca="1"/>
        <v>#NAME?</v>
      </c>
      <c r="D47" s="35" t="str">
        <f ca="1">IFERROR(__xludf.DUMMYFUNCTION("""COMPUTED_VALUE"""),"עמלות (יעל אביב)")</f>
        <v>עמלות (יעל אביב)</v>
      </c>
      <c r="E47" s="34" t="e">
        <f ca="1"/>
        <v>#NAME?</v>
      </c>
      <c r="F47" s="34" t="e">
        <f ca="1"/>
        <v>#NAME?</v>
      </c>
    </row>
    <row r="48" spans="1:6" ht="39.049999999999997" customHeight="1">
      <c r="A48" s="32" t="e">
        <f ca="1"/>
        <v>#NAME?</v>
      </c>
      <c r="B48" s="33" t="str">
        <f ca="1">IFERROR(__xludf.DUMMYFUNCTION("""COMPUTED_VALUE"""),"רשות")</f>
        <v>רשות</v>
      </c>
      <c r="C48" s="34" t="e">
        <f ca="1"/>
        <v>#NAME?</v>
      </c>
      <c r="D48" s="35" t="str">
        <f ca="1">IFERROR(__xludf.DUMMYFUNCTION("""COMPUTED_VALUE"""),"")</f>
        <v/>
      </c>
      <c r="E48" s="34" t="e">
        <f ca="1"/>
        <v>#NAME?</v>
      </c>
      <c r="F48" s="34" t="e">
        <f ca="1"/>
        <v>#NAME?</v>
      </c>
    </row>
    <row r="49" spans="1:6" ht="39.049999999999997" customHeight="1">
      <c r="A49" s="32" t="e">
        <f ca="1"/>
        <v>#NAME?</v>
      </c>
      <c r="B49" s="33" t="str">
        <f ca="1">IFERROR(__xludf.DUMMYFUNCTION("""COMPUTED_VALUE"""),"")</f>
        <v/>
      </c>
      <c r="C49" s="34" t="e">
        <f ca="1"/>
        <v>#NAME?</v>
      </c>
      <c r="D49" s="35" t="str">
        <f ca="1">IFERROR(__xludf.DUMMYFUNCTION("""COMPUTED_VALUE"""),"")</f>
        <v/>
      </c>
      <c r="E49" s="34" t="e">
        <f ca="1"/>
        <v>#NAME?</v>
      </c>
      <c r="F49" s="34" t="e">
        <f ca="1"/>
        <v>#NAME?</v>
      </c>
    </row>
    <row r="50" spans="1:6" ht="39.049999999999997" customHeight="1">
      <c r="A50" s="32" t="e">
        <f ca="1"/>
        <v>#NAME?</v>
      </c>
      <c r="B50" s="33" t="str">
        <f ca="1">IFERROR(__xludf.DUMMYFUNCTION("""COMPUTED_VALUE"""),"")</f>
        <v/>
      </c>
      <c r="C50" s="34" t="e">
        <f ca="1"/>
        <v>#NAME?</v>
      </c>
      <c r="D50" s="35" t="str">
        <f ca="1">IFERROR(__xludf.DUMMYFUNCTION("""COMPUTED_VALUE"""),"פעילויות, עובדים, משרדיות")</f>
        <v>פעילויות, עובדים, משרדיות</v>
      </c>
      <c r="E50" s="34" t="e">
        <f ca="1"/>
        <v>#NAME?</v>
      </c>
      <c r="F50" s="34" t="e">
        <f ca="1"/>
        <v>#NAME?</v>
      </c>
    </row>
    <row r="51" spans="1:6" ht="39.049999999999997" customHeight="1">
      <c r="A51" s="32" t="e">
        <f ca="1"/>
        <v>#NAME?</v>
      </c>
      <c r="B51" s="33" t="str">
        <f ca="1">IFERROR(__xludf.DUMMYFUNCTION("""COMPUTED_VALUE"""),"")</f>
        <v/>
      </c>
      <c r="C51" s="34" t="e">
        <f ca="1"/>
        <v>#NAME?</v>
      </c>
      <c r="D51" s="35" t="str">
        <f ca="1">IFERROR(__xludf.DUMMYFUNCTION("""COMPUTED_VALUE"""),"")</f>
        <v/>
      </c>
      <c r="E51" s="34" t="e">
        <f ca="1"/>
        <v>#NAME?</v>
      </c>
      <c r="F51" s="34" t="e">
        <f ca="1"/>
        <v>#NAME?</v>
      </c>
    </row>
    <row r="52" spans="1:6" ht="39.049999999999997" customHeight="1">
      <c r="A52" s="32" t="e">
        <f ca="1"/>
        <v>#NAME?</v>
      </c>
      <c r="B52" s="33" t="str">
        <f ca="1">IFERROR(__xludf.DUMMYFUNCTION("""COMPUTED_VALUE"""),"תעשיינים, גפן")</f>
        <v>תעשיינים, גפן</v>
      </c>
      <c r="C52" s="34" t="e">
        <f ca="1"/>
        <v>#NAME?</v>
      </c>
      <c r="D52" s="35" t="str">
        <f ca="1">IFERROR(__xludf.DUMMYFUNCTION("""COMPUTED_VALUE"""),"נלוות לשכר")</f>
        <v>נלוות לשכר</v>
      </c>
      <c r="E52" s="34" t="e">
        <f ca="1"/>
        <v>#NAME?</v>
      </c>
      <c r="F52" s="34" t="e">
        <f ca="1"/>
        <v>#NAME?</v>
      </c>
    </row>
    <row r="53" spans="1:6" ht="39.049999999999997" customHeight="1">
      <c r="A53" s="32" t="e">
        <f ca="1"/>
        <v>#NAME?</v>
      </c>
      <c r="B53" s="33" t="str">
        <f ca="1">IFERROR(__xludf.DUMMYFUNCTION("""COMPUTED_VALUE"""),"")</f>
        <v/>
      </c>
      <c r="C53" s="34" t="e">
        <f ca="1"/>
        <v>#NAME?</v>
      </c>
      <c r="D53" s="35" t="str">
        <f ca="1">IFERROR(__xludf.DUMMYFUNCTION("""COMPUTED_VALUE"""),"")</f>
        <v/>
      </c>
      <c r="E53" s="34" t="e">
        <f ca="1"/>
        <v>#NAME?</v>
      </c>
      <c r="F53" s="34" t="e">
        <f ca="1"/>
        <v>#NAME?</v>
      </c>
    </row>
    <row r="54" spans="1:6" ht="39.049999999999997" customHeight="1">
      <c r="A54" s="32" t="e">
        <f ca="1"/>
        <v>#NAME?</v>
      </c>
      <c r="B54" s="33" t="str">
        <f ca="1">IFERROR(__xludf.DUMMYFUNCTION("""COMPUTED_VALUE"""),"")</f>
        <v/>
      </c>
      <c r="C54" s="34" t="e">
        <f ca="1"/>
        <v>#NAME?</v>
      </c>
      <c r="D54" s="35" t="str">
        <f ca="1">IFERROR(__xludf.DUMMYFUNCTION("""COMPUTED_VALUE"""),"הלוואה")</f>
        <v>הלוואה</v>
      </c>
      <c r="E54" s="34" t="e">
        <f ca="1"/>
        <v>#NAME?</v>
      </c>
      <c r="F54" s="34" t="e">
        <f ca="1"/>
        <v>#NAME?</v>
      </c>
    </row>
    <row r="55" spans="1:6" ht="39.049999999999997" customHeight="1">
      <c r="A55" s="32" t="e">
        <f ca="1"/>
        <v>#NAME?</v>
      </c>
      <c r="B55" s="33" t="str">
        <f ca="1">IFERROR(__xludf.DUMMYFUNCTION("""COMPUTED_VALUE"""),"")</f>
        <v/>
      </c>
      <c r="C55" s="34" t="e">
        <f ca="1"/>
        <v>#NAME?</v>
      </c>
      <c r="D55" s="35" t="str">
        <f ca="1">IFERROR(__xludf.DUMMYFUNCTION("""COMPUTED_VALUE"""),"")</f>
        <v/>
      </c>
      <c r="E55" s="34" t="e">
        <f ca="1"/>
        <v>#NAME?</v>
      </c>
      <c r="F55" s="34" t="e">
        <f ca="1"/>
        <v>#NAME?</v>
      </c>
    </row>
    <row r="56" spans="1:6" ht="39.049999999999997" customHeight="1">
      <c r="A56" s="32" t="e">
        <f ca="1"/>
        <v>#NAME?</v>
      </c>
      <c r="B56" s="33" t="str">
        <f ca="1">IFERROR(__xludf.DUMMYFUNCTION("""COMPUTED_VALUE"""),"")</f>
        <v/>
      </c>
      <c r="C56" s="34" t="e">
        <f ca="1"/>
        <v>#NAME?</v>
      </c>
      <c r="D56" s="35" t="str">
        <f ca="1">IFERROR(__xludf.DUMMYFUNCTION("""COMPUTED_VALUE"""),"")</f>
        <v/>
      </c>
      <c r="E56" s="34" t="e">
        <f ca="1"/>
        <v>#NAME?</v>
      </c>
      <c r="F56" s="34" t="e">
        <f ca="1"/>
        <v>#NAME?</v>
      </c>
    </row>
    <row r="57" spans="1:6" ht="39.049999999999997" customHeight="1">
      <c r="A57" s="32" t="e">
        <f ca="1"/>
        <v>#NAME?</v>
      </c>
      <c r="B57" s="33" t="str">
        <f ca="1">IFERROR(__xludf.DUMMYFUNCTION("""COMPUTED_VALUE"""),"")</f>
        <v/>
      </c>
      <c r="C57" s="34" t="e">
        <f ca="1"/>
        <v>#NAME?</v>
      </c>
      <c r="D57" s="35" t="str">
        <f ca="1">IFERROR(__xludf.DUMMYFUNCTION("""COMPUTED_VALUE"""),"")</f>
        <v/>
      </c>
      <c r="E57" s="34" t="e">
        <f ca="1"/>
        <v>#NAME?</v>
      </c>
      <c r="F57" s="34" t="e">
        <f ca="1"/>
        <v>#NAME?</v>
      </c>
    </row>
    <row r="58" spans="1:6" ht="39.049999999999997" customHeight="1">
      <c r="A58" s="32" t="e">
        <f ca="1"/>
        <v>#NAME?</v>
      </c>
      <c r="B58" s="33" t="str">
        <f ca="1">IFERROR(__xludf.DUMMYFUNCTION("""COMPUTED_VALUE"""),"")</f>
        <v/>
      </c>
      <c r="C58" s="34" t="e">
        <f ca="1"/>
        <v>#NAME?</v>
      </c>
      <c r="D58" s="35" t="str">
        <f ca="1">IFERROR(__xludf.DUMMYFUNCTION("""COMPUTED_VALUE"""),"")</f>
        <v/>
      </c>
      <c r="E58" s="34" t="e">
        <f ca="1"/>
        <v>#NAME?</v>
      </c>
      <c r="F58" s="34" t="e">
        <f ca="1"/>
        <v>#NAME?</v>
      </c>
    </row>
    <row r="59" spans="1:6" ht="39.049999999999997" customHeight="1">
      <c r="A59" s="32" t="e">
        <f ca="1"/>
        <v>#NAME?</v>
      </c>
      <c r="B59" s="33" t="str">
        <f ca="1">IFERROR(__xludf.DUMMYFUNCTION("""COMPUTED_VALUE"""),"")</f>
        <v/>
      </c>
      <c r="C59" s="34" t="e">
        <f ca="1"/>
        <v>#NAME?</v>
      </c>
      <c r="D59" s="35" t="str">
        <f ca="1">IFERROR(__xludf.DUMMYFUNCTION("""COMPUTED_VALUE"""),"")</f>
        <v/>
      </c>
      <c r="E59" s="34" t="e">
        <f ca="1"/>
        <v>#NAME?</v>
      </c>
      <c r="F59" s="34" t="e">
        <f ca="1"/>
        <v>#NAME?</v>
      </c>
    </row>
    <row r="60" spans="1:6" ht="39.049999999999997" customHeight="1">
      <c r="A60" s="32" t="e">
        <f ca="1"/>
        <v>#NAME?</v>
      </c>
      <c r="B60" s="33" t="str">
        <f ca="1">IFERROR(__xludf.DUMMYFUNCTION("""COMPUTED_VALUE"""),"")</f>
        <v/>
      </c>
      <c r="C60" s="34" t="e">
        <f ca="1"/>
        <v>#NAME?</v>
      </c>
      <c r="D60" s="35" t="str">
        <f ca="1">IFERROR(__xludf.DUMMYFUNCTION("""COMPUTED_VALUE"""),"חובות ישנים")</f>
        <v>חובות ישנים</v>
      </c>
      <c r="E60" s="34" t="e">
        <f ca="1"/>
        <v>#NAME?</v>
      </c>
      <c r="F60" s="34" t="e">
        <f ca="1"/>
        <v>#NAME?</v>
      </c>
    </row>
    <row r="61" spans="1:6" ht="39.049999999999997" customHeight="1">
      <c r="A61" s="32" t="e">
        <f ca="1"/>
        <v>#NAME?</v>
      </c>
      <c r="B61" s="33" t="str">
        <f ca="1">IFERROR(__xludf.DUMMYFUNCTION("""COMPUTED_VALUE"""),"")</f>
        <v/>
      </c>
      <c r="C61" s="34" t="e">
        <f ca="1"/>
        <v>#NAME?</v>
      </c>
      <c r="D61" s="35" t="str">
        <f ca="1">IFERROR(__xludf.DUMMYFUNCTION("""COMPUTED_VALUE"""),"")</f>
        <v/>
      </c>
      <c r="E61" s="34" t="e">
        <f ca="1"/>
        <v>#NAME?</v>
      </c>
      <c r="F61" s="34" t="e">
        <f ca="1"/>
        <v>#NAME?</v>
      </c>
    </row>
    <row r="62" spans="1:6" ht="39.049999999999997" customHeight="1">
      <c r="A62" s="32" t="e">
        <f ca="1"/>
        <v>#NAME?</v>
      </c>
      <c r="B62" s="33" t="str">
        <f ca="1">IFERROR(__xludf.DUMMYFUNCTION("""COMPUTED_VALUE"""),"")</f>
        <v/>
      </c>
      <c r="C62" s="34" t="e">
        <f ca="1"/>
        <v>#NAME?</v>
      </c>
      <c r="D62" s="35" t="str">
        <f ca="1">IFERROR(__xludf.DUMMYFUNCTION("""COMPUTED_VALUE"""),"תקשורת, פעילויות, עובדים, נותני שירות, משרדיות")</f>
        <v>תקשורת, פעילויות, עובדים, נותני שירות, משרדיות</v>
      </c>
      <c r="E62" s="34" t="e">
        <f ca="1"/>
        <v>#NAME?</v>
      </c>
      <c r="F62" s="34" t="e">
        <f ca="1"/>
        <v>#NAME?</v>
      </c>
    </row>
    <row r="63" spans="1:6" ht="39.049999999999997" customHeight="1">
      <c r="A63" s="32" t="e">
        <f ca="1"/>
        <v>#NAME?</v>
      </c>
      <c r="B63" s="33" t="str">
        <f ca="1">IFERROR(__xludf.DUMMYFUNCTION("""COMPUTED_VALUE"""),"גפן, רשות")</f>
        <v>גפן, רשות</v>
      </c>
      <c r="C63" s="34" t="e">
        <f ca="1"/>
        <v>#NAME?</v>
      </c>
      <c r="D63" s="35" t="str">
        <f ca="1">IFERROR(__xludf.DUMMYFUNCTION("""COMPUTED_VALUE"""),"שכר")</f>
        <v>שכר</v>
      </c>
      <c r="E63" s="34" t="e">
        <f ca="1"/>
        <v>#NAME?</v>
      </c>
      <c r="F63" s="34" t="e">
        <f ca="1"/>
        <v>#NAME?</v>
      </c>
    </row>
    <row r="64" spans="1:6" ht="39.049999999999997" customHeight="1">
      <c r="A64" s="32" t="e">
        <f ca="1"/>
        <v>#NAME?</v>
      </c>
      <c r="B64" s="33" t="str">
        <f ca="1">IFERROR(__xludf.DUMMYFUNCTION("""COMPUTED_VALUE"""),"")</f>
        <v/>
      </c>
      <c r="C64" s="34" t="e">
        <f ca="1"/>
        <v>#NAME?</v>
      </c>
      <c r="D64" s="35" t="str">
        <f ca="1">IFERROR(__xludf.DUMMYFUNCTION("""COMPUTED_VALUE"""),"תקשורת, אגרות ובנקים")</f>
        <v>תקשורת, אגרות ובנקים</v>
      </c>
      <c r="E64" s="34" t="e">
        <f ca="1"/>
        <v>#NAME?</v>
      </c>
      <c r="F64" s="34" t="e">
        <f ca="1"/>
        <v>#NAME?</v>
      </c>
    </row>
    <row r="65" spans="1:6" ht="39.049999999999997" customHeight="1">
      <c r="A65" s="32" t="e">
        <f ca="1"/>
        <v>#NAME?</v>
      </c>
      <c r="B65" s="33" t="str">
        <f ca="1">IFERROR(__xludf.DUMMYFUNCTION("""COMPUTED_VALUE"""),"")</f>
        <v/>
      </c>
      <c r="C65" s="34" t="e">
        <f ca="1"/>
        <v>#NAME?</v>
      </c>
      <c r="D65" s="35" t="str">
        <f ca="1">IFERROR(__xludf.DUMMYFUNCTION("""COMPUTED_VALUE"""),"")</f>
        <v/>
      </c>
      <c r="E65" s="34" t="e">
        <f ca="1"/>
        <v>#NAME?</v>
      </c>
      <c r="F65" s="34" t="e">
        <f ca="1"/>
        <v>#NAME?</v>
      </c>
    </row>
    <row r="66" spans="1:6" ht="39.049999999999997" customHeight="1">
      <c r="A66" s="32" t="e">
        <f ca="1"/>
        <v>#NAME?</v>
      </c>
      <c r="B66" s="33" t="str">
        <f ca="1">IFERROR(__xludf.DUMMYFUNCTION("""COMPUTED_VALUE"""),"")</f>
        <v/>
      </c>
      <c r="C66" s="34" t="e">
        <f ca="1"/>
        <v>#NAME?</v>
      </c>
      <c r="D66" s="35" t="str">
        <f ca="1">IFERROR(__xludf.DUMMYFUNCTION("""COMPUTED_VALUE"""),"")</f>
        <v/>
      </c>
      <c r="E66" s="34" t="e">
        <f ca="1"/>
        <v>#NAME?</v>
      </c>
      <c r="F66" s="34" t="e">
        <f ca="1"/>
        <v>#NAME?</v>
      </c>
    </row>
    <row r="67" spans="1:6" ht="39.049999999999997" customHeight="1">
      <c r="A67" s="32" t="e">
        <f ca="1"/>
        <v>#NAME?</v>
      </c>
      <c r="B67" s="33" t="str">
        <f ca="1">IFERROR(__xludf.DUMMYFUNCTION("""COMPUTED_VALUE"""),"")</f>
        <v/>
      </c>
      <c r="C67" s="34" t="e">
        <f ca="1"/>
        <v>#NAME?</v>
      </c>
      <c r="D67" s="35" t="str">
        <f ca="1">IFERROR(__xludf.DUMMYFUNCTION("""COMPUTED_VALUE"""),"שכר מדריכים")</f>
        <v>שכר מדריכים</v>
      </c>
      <c r="E67" s="34" t="e">
        <f ca="1"/>
        <v>#NAME?</v>
      </c>
      <c r="F67" s="34" t="e">
        <f ca="1"/>
        <v>#NAME?</v>
      </c>
    </row>
    <row r="68" spans="1:6" ht="39.049999999999997" customHeight="1">
      <c r="A68" s="32" t="e">
        <f ca="1"/>
        <v>#NAME?</v>
      </c>
      <c r="B68" s="33" t="str">
        <f ca="1">IFERROR(__xludf.DUMMYFUNCTION("""COMPUTED_VALUE"""),"")</f>
        <v/>
      </c>
      <c r="C68" s="34" t="e">
        <f ca="1"/>
        <v>#NAME?</v>
      </c>
      <c r="D68" s="35" t="str">
        <f ca="1">IFERROR(__xludf.DUMMYFUNCTION("""COMPUTED_VALUE"""),"")</f>
        <v/>
      </c>
      <c r="E68" s="34" t="e">
        <f ca="1"/>
        <v>#NAME?</v>
      </c>
      <c r="F68" s="34" t="e">
        <f ca="1"/>
        <v>#NAME?</v>
      </c>
    </row>
    <row r="69" spans="1:6" ht="39.049999999999997" customHeight="1">
      <c r="A69" s="32" t="e">
        <f ca="1"/>
        <v>#NAME?</v>
      </c>
      <c r="B69" s="33" t="str">
        <f ca="1">IFERROR(__xludf.DUMMYFUNCTION("""COMPUTED_VALUE"""),"")</f>
        <v/>
      </c>
      <c r="C69" s="34" t="e">
        <f ca="1"/>
        <v>#NAME?</v>
      </c>
      <c r="D69" s="35" t="str">
        <f ca="1">IFERROR(__xludf.DUMMYFUNCTION("""COMPUTED_VALUE"""),"")</f>
        <v/>
      </c>
      <c r="E69" s="34" t="e">
        <f ca="1"/>
        <v>#NAME?</v>
      </c>
      <c r="F69" s="34" t="e">
        <f ca="1"/>
        <v>#NAME?</v>
      </c>
    </row>
    <row r="70" spans="1:6" ht="39.049999999999997" customHeight="1">
      <c r="A70" s="32" t="e">
        <f ca="1"/>
        <v>#NAME?</v>
      </c>
      <c r="B70" s="33" t="str">
        <f ca="1">IFERROR(__xludf.DUMMYFUNCTION("""COMPUTED_VALUE"""),"")</f>
        <v/>
      </c>
      <c r="C70" s="34" t="e">
        <f ca="1"/>
        <v>#NAME?</v>
      </c>
      <c r="D70" s="35" t="str">
        <f ca="1">IFERROR(__xludf.DUMMYFUNCTION("""COMPUTED_VALUE"""),"")</f>
        <v/>
      </c>
      <c r="E70" s="34" t="e">
        <f ca="1"/>
        <v>#NAME?</v>
      </c>
      <c r="F70" s="34" t="e">
        <f ca="1"/>
        <v>#NAME?</v>
      </c>
    </row>
    <row r="71" spans="1:6" ht="39.049999999999997" customHeight="1">
      <c r="A71" s="32" t="e">
        <f ca="1"/>
        <v>#NAME?</v>
      </c>
      <c r="B71" s="33" t="str">
        <f ca="1">IFERROR(__xludf.DUMMYFUNCTION("""COMPUTED_VALUE"""),"")</f>
        <v/>
      </c>
      <c r="C71" s="34" t="e">
        <f ca="1"/>
        <v>#NAME?</v>
      </c>
      <c r="D71" s="35" t="str">
        <f ca="1">IFERROR(__xludf.DUMMYFUNCTION("""COMPUTED_VALUE"""),"")</f>
        <v/>
      </c>
      <c r="E71" s="34" t="e">
        <f ca="1"/>
        <v>#NAME?</v>
      </c>
      <c r="F71" s="34" t="e">
        <f ca="1"/>
        <v>#NAME?</v>
      </c>
    </row>
    <row r="72" spans="1:6" ht="39.049999999999997" customHeight="1">
      <c r="A72" s="32" t="e">
        <f ca="1"/>
        <v>#NAME?</v>
      </c>
      <c r="B72" s="33" t="str">
        <f ca="1">IFERROR(__xludf.DUMMYFUNCTION("""COMPUTED_VALUE"""),"")</f>
        <v/>
      </c>
      <c r="C72" s="34" t="e">
        <f ca="1"/>
        <v>#NAME?</v>
      </c>
      <c r="D72" s="35" t="str">
        <f ca="1">IFERROR(__xludf.DUMMYFUNCTION("""COMPUTED_VALUE"""),"משפטיות, ביטוח, קשרי חוץ")</f>
        <v>משפטיות, ביטוח, קשרי חוץ</v>
      </c>
      <c r="E72" s="34" t="e">
        <f ca="1"/>
        <v>#NAME?</v>
      </c>
      <c r="F72" s="34" t="e">
        <f ca="1"/>
        <v>#NAME?</v>
      </c>
    </row>
    <row r="73" spans="1:6" ht="39.049999999999997" customHeight="1">
      <c r="A73" s="32" t="e">
        <f ca="1"/>
        <v>#NAME?</v>
      </c>
      <c r="B73" s="33" t="str">
        <f ca="1">IFERROR(__xludf.DUMMYFUNCTION("""COMPUTED_VALUE"""),"")</f>
        <v/>
      </c>
      <c r="C73" s="34" t="e">
        <f ca="1"/>
        <v>#NAME?</v>
      </c>
      <c r="D73" s="35" t="str">
        <f ca="1">IFERROR(__xludf.DUMMYFUNCTION("""COMPUTED_VALUE"""),"")</f>
        <v/>
      </c>
      <c r="E73" s="34" t="e">
        <f ca="1"/>
        <v>#NAME?</v>
      </c>
      <c r="F73" s="34" t="e">
        <f ca="1"/>
        <v>#NAME?</v>
      </c>
    </row>
    <row r="74" spans="1:6" ht="39.049999999999997" customHeight="1">
      <c r="A74" s="32" t="e">
        <f ca="1"/>
        <v>#NAME?</v>
      </c>
      <c r="B74" s="33" t="str">
        <f ca="1">IFERROR(__xludf.DUMMYFUNCTION("""COMPUTED_VALUE"""),"")</f>
        <v/>
      </c>
      <c r="C74" s="34" t="e">
        <f ca="1"/>
        <v>#NAME?</v>
      </c>
      <c r="D74" s="35" t="str">
        <f ca="1">IFERROR(__xludf.DUMMYFUNCTION("""COMPUTED_VALUE"""),"נלוות לשכר")</f>
        <v>נלוות לשכר</v>
      </c>
      <c r="E74" s="34" t="e">
        <f ca="1"/>
        <v>#NAME?</v>
      </c>
      <c r="F74" s="34" t="e">
        <f ca="1"/>
        <v>#NAME?</v>
      </c>
    </row>
    <row r="75" spans="1:6" ht="39.049999999999997" customHeight="1">
      <c r="A75" s="32" t="e">
        <f ca="1"/>
        <v>#NAME?</v>
      </c>
      <c r="B75" s="33" t="str">
        <f ca="1">IFERROR(__xludf.DUMMYFUNCTION("""COMPUTED_VALUE"""),"")</f>
        <v/>
      </c>
      <c r="C75" s="34" t="e">
        <f ca="1"/>
        <v>#NAME?</v>
      </c>
      <c r="D75" s="35" t="str">
        <f ca="1">IFERROR(__xludf.DUMMYFUNCTION("""COMPUTED_VALUE"""),"")</f>
        <v/>
      </c>
      <c r="E75" s="34" t="e">
        <f ca="1"/>
        <v>#NAME?</v>
      </c>
      <c r="F75" s="34" t="e">
        <f ca="1"/>
        <v>#NAME?</v>
      </c>
    </row>
    <row r="76" spans="1:6" ht="39.049999999999997" customHeight="1">
      <c r="A76" s="32" t="e">
        <f ca="1"/>
        <v>#NAME?</v>
      </c>
      <c r="B76" s="33" t="str">
        <f ca="1">IFERROR(__xludf.DUMMYFUNCTION("""COMPUTED_VALUE"""),"")</f>
        <v/>
      </c>
      <c r="C76" s="34" t="e">
        <f ca="1"/>
        <v>#NAME?</v>
      </c>
      <c r="D76" s="35" t="str">
        <f ca="1">IFERROR(__xludf.DUMMYFUNCTION("""COMPUTED_VALUE"""),"שכר מדריכים")</f>
        <v>שכר מדריכים</v>
      </c>
      <c r="E76" s="34" t="e">
        <f ca="1"/>
        <v>#NAME?</v>
      </c>
      <c r="F76" s="34" t="e">
        <f ca="1"/>
        <v>#NAME?</v>
      </c>
    </row>
    <row r="77" spans="1:6" ht="39.049999999999997" customHeight="1">
      <c r="A77" s="32" t="e">
        <f ca="1"/>
        <v>#NAME?</v>
      </c>
      <c r="B77" s="33" t="str">
        <f ca="1">IFERROR(__xludf.DUMMYFUNCTION("""COMPUTED_VALUE"""),"רשות, גפן, מתנ""ס")</f>
        <v>רשות, גפן, מתנ"ס</v>
      </c>
      <c r="C77" s="34" t="e">
        <f ca="1"/>
        <v>#NAME?</v>
      </c>
      <c r="D77" s="35" t="str">
        <f ca="1">IFERROR(__xludf.DUMMYFUNCTION("""COMPUTED_VALUE"""),"עמלות (יעל אביב)")</f>
        <v>עמלות (יעל אביב)</v>
      </c>
      <c r="E77" s="34" t="e">
        <f ca="1"/>
        <v>#NAME?</v>
      </c>
      <c r="F77" s="34" t="e">
        <f ca="1"/>
        <v>#NAME?</v>
      </c>
    </row>
    <row r="78" spans="1:6" ht="39.049999999999997" customHeight="1">
      <c r="A78" s="32" t="e">
        <f ca="1"/>
        <v>#NAME?</v>
      </c>
      <c r="B78" s="33" t="str">
        <f ca="1">IFERROR(__xludf.DUMMYFUNCTION("""COMPUTED_VALUE"""),"")</f>
        <v/>
      </c>
      <c r="C78" s="34" t="e">
        <f ca="1"/>
        <v>#NAME?</v>
      </c>
      <c r="D78" s="35" t="str">
        <f ca="1">IFERROR(__xludf.DUMMYFUNCTION("""COMPUTED_VALUE"""),"")</f>
        <v/>
      </c>
      <c r="E78" s="34" t="e">
        <f ca="1"/>
        <v>#NAME?</v>
      </c>
      <c r="F78" s="34" t="e">
        <f ca="1"/>
        <v>#NAME?</v>
      </c>
    </row>
    <row r="79" spans="1:6" ht="39.049999999999997" customHeight="1">
      <c r="A79" s="32" t="e">
        <f ca="1"/>
        <v>#NAME?</v>
      </c>
      <c r="B79" s="33" t="str">
        <f ca="1">IFERROR(__xludf.DUMMYFUNCTION("""COMPUTED_VALUE"""),"")</f>
        <v/>
      </c>
      <c r="C79" s="34" t="e">
        <f ca="1"/>
        <v>#NAME?</v>
      </c>
      <c r="D79" s="35" t="str">
        <f ca="1">IFERROR(__xludf.DUMMYFUNCTION("""COMPUTED_VALUE"""),"")</f>
        <v/>
      </c>
      <c r="E79" s="34" t="e">
        <f ca="1"/>
        <v>#NAME?</v>
      </c>
      <c r="F79" s="34" t="e">
        <f ca="1"/>
        <v>#NAME?</v>
      </c>
    </row>
    <row r="80" spans="1:6" ht="39.049999999999997" customHeight="1">
      <c r="A80" s="32" t="e">
        <f ca="1"/>
        <v>#NAME?</v>
      </c>
      <c r="B80" s="33" t="str">
        <f ca="1">IFERROR(__xludf.DUMMYFUNCTION("""COMPUTED_VALUE"""),"")</f>
        <v/>
      </c>
      <c r="C80" s="34" t="e">
        <f ca="1"/>
        <v>#NAME?</v>
      </c>
      <c r="D80" s="35" t="str">
        <f ca="1">IFERROR(__xludf.DUMMYFUNCTION("""COMPUTED_VALUE"""),"שכר, משרדיות, עובדים")</f>
        <v>שכר, משרדיות, עובדים</v>
      </c>
      <c r="E80" s="34" t="e">
        <f ca="1"/>
        <v>#NAME?</v>
      </c>
      <c r="F80" s="34" t="e">
        <f ca="1"/>
        <v>#NAME?</v>
      </c>
    </row>
    <row r="81" spans="1:6" ht="39.049999999999997" customHeight="1">
      <c r="A81" s="32" t="e">
        <f ca="1"/>
        <v>#NAME?</v>
      </c>
      <c r="B81" s="33" t="str">
        <f ca="1">IFERROR(__xludf.DUMMYFUNCTION("""COMPUTED_VALUE"""),"")</f>
        <v/>
      </c>
      <c r="C81" s="34" t="e">
        <f ca="1"/>
        <v>#NAME?</v>
      </c>
      <c r="D81" s="35" t="str">
        <f ca="1">IFERROR(__xludf.DUMMYFUNCTION("""COMPUTED_VALUE"""),"")</f>
        <v/>
      </c>
      <c r="E81" s="34" t="e">
        <f ca="1"/>
        <v>#NAME?</v>
      </c>
      <c r="F81" s="34" t="e">
        <f ca="1"/>
        <v>#NAME?</v>
      </c>
    </row>
    <row r="82" spans="1:6" ht="39.049999999999997" customHeight="1">
      <c r="A82" s="32" t="e">
        <f ca="1"/>
        <v>#NAME?</v>
      </c>
      <c r="B82" s="33" t="str">
        <f ca="1">IFERROR(__xludf.DUMMYFUNCTION("""COMPUTED_VALUE"""),"")</f>
        <v/>
      </c>
      <c r="C82" s="34" t="e">
        <f ca="1"/>
        <v>#NAME?</v>
      </c>
      <c r="D82" s="35" t="str">
        <f ca="1">IFERROR(__xludf.DUMMYFUNCTION("""COMPUTED_VALUE"""),"נלוות לשכר")</f>
        <v>נלוות לשכר</v>
      </c>
      <c r="E82" s="34" t="e">
        <f ca="1"/>
        <v>#NAME?</v>
      </c>
      <c r="F82" s="34" t="e">
        <f ca="1"/>
        <v>#NAME?</v>
      </c>
    </row>
    <row r="83" spans="1:6" ht="39.049999999999997" customHeight="1">
      <c r="A83" s="32" t="e">
        <f ca="1"/>
        <v>#NAME?</v>
      </c>
      <c r="B83" s="33" t="str">
        <f ca="1">IFERROR(__xludf.DUMMYFUNCTION("""COMPUTED_VALUE"""),"")</f>
        <v/>
      </c>
      <c r="C83" s="34" t="e">
        <f ca="1"/>
        <v>#NAME?</v>
      </c>
      <c r="D83" s="35" t="str">
        <f ca="1">IFERROR(__xludf.DUMMYFUNCTION("""COMPUTED_VALUE"""),"")</f>
        <v/>
      </c>
      <c r="E83" s="34" t="e">
        <f ca="1"/>
        <v>#NAME?</v>
      </c>
      <c r="F83" s="34" t="e">
        <f ca="1"/>
        <v>#NAME?</v>
      </c>
    </row>
    <row r="84" spans="1:6" ht="39.049999999999997" customHeight="1">
      <c r="A84" s="32" t="e">
        <f ca="1"/>
        <v>#NAME?</v>
      </c>
      <c r="B84" s="33" t="str">
        <f ca="1">IFERROR(__xludf.DUMMYFUNCTION("""COMPUTED_VALUE"""),"")</f>
        <v/>
      </c>
      <c r="C84" s="34" t="e">
        <f ca="1"/>
        <v>#NAME?</v>
      </c>
      <c r="D84" s="35" t="str">
        <f ca="1">IFERROR(__xludf.DUMMYFUNCTION("""COMPUTED_VALUE"""),"הלוואה")</f>
        <v>הלוואה</v>
      </c>
      <c r="E84" s="34" t="e">
        <f ca="1"/>
        <v>#NAME?</v>
      </c>
      <c r="F84" s="34" t="e">
        <f ca="1"/>
        <v>#NAME?</v>
      </c>
    </row>
    <row r="85" spans="1:6" ht="39.049999999999997" customHeight="1">
      <c r="A85" s="32" t="e">
        <f ca="1"/>
        <v>#NAME?</v>
      </c>
      <c r="B85" s="33" t="str">
        <f ca="1">IFERROR(__xludf.DUMMYFUNCTION("""COMPUTED_VALUE"""),"")</f>
        <v/>
      </c>
      <c r="C85" s="34" t="e">
        <f ca="1"/>
        <v>#NAME?</v>
      </c>
      <c r="D85" s="35" t="str">
        <f ca="1">IFERROR(__xludf.DUMMYFUNCTION("""COMPUTED_VALUE"""),"")</f>
        <v/>
      </c>
      <c r="E85" s="34" t="e">
        <f ca="1"/>
        <v>#NAME?</v>
      </c>
      <c r="F85" s="34" t="e">
        <f ca="1"/>
        <v>#NAME?</v>
      </c>
    </row>
    <row r="86" spans="1:6" ht="39.049999999999997" customHeight="1">
      <c r="A86" s="32" t="e">
        <f ca="1"/>
        <v>#NAME?</v>
      </c>
      <c r="B86" s="33" t="str">
        <f ca="1">IFERROR(__xludf.DUMMYFUNCTION("""COMPUTED_VALUE"""),"")</f>
        <v/>
      </c>
      <c r="C86" s="34" t="e">
        <f ca="1"/>
        <v>#NAME?</v>
      </c>
      <c r="D86" s="35" t="str">
        <f ca="1">IFERROR(__xludf.DUMMYFUNCTION("""COMPUTED_VALUE"""),"")</f>
        <v/>
      </c>
      <c r="E86" s="34" t="e">
        <f ca="1"/>
        <v>#NAME?</v>
      </c>
      <c r="F86" s="34" t="e">
        <f ca="1"/>
        <v>#NAME?</v>
      </c>
    </row>
    <row r="87" spans="1:6" ht="39.049999999999997" customHeight="1">
      <c r="A87" s="32" t="e">
        <f ca="1"/>
        <v>#NAME?</v>
      </c>
      <c r="B87" s="33" t="str">
        <f ca="1">IFERROR(__xludf.DUMMYFUNCTION("""COMPUTED_VALUE"""),"")</f>
        <v/>
      </c>
      <c r="C87" s="34" t="e">
        <f ca="1"/>
        <v>#NAME?</v>
      </c>
      <c r="D87" s="35" t="str">
        <f ca="1">IFERROR(__xludf.DUMMYFUNCTION("""COMPUTED_VALUE"""),"")</f>
        <v/>
      </c>
      <c r="E87" s="34" t="e">
        <f ca="1"/>
        <v>#NAME?</v>
      </c>
      <c r="F87" s="34" t="e">
        <f ca="1"/>
        <v>#NAME?</v>
      </c>
    </row>
    <row r="88" spans="1:6" ht="39.049999999999997" customHeight="1">
      <c r="A88" s="32" t="e">
        <f ca="1"/>
        <v>#NAME?</v>
      </c>
      <c r="B88" s="33" t="str">
        <f ca="1">IFERROR(__xludf.DUMMYFUNCTION("""COMPUTED_VALUE"""),"")</f>
        <v/>
      </c>
      <c r="C88" s="34" t="e">
        <f ca="1"/>
        <v>#NAME?</v>
      </c>
      <c r="D88" s="35" t="str">
        <f ca="1">IFERROR(__xludf.DUMMYFUNCTION("""COMPUTED_VALUE"""),"")</f>
        <v/>
      </c>
      <c r="E88" s="34" t="e">
        <f ca="1"/>
        <v>#NAME?</v>
      </c>
      <c r="F88" s="34" t="e">
        <f ca="1"/>
        <v>#NAME?</v>
      </c>
    </row>
    <row r="89" spans="1:6" ht="39.049999999999997" customHeight="1">
      <c r="A89" s="32" t="e">
        <f ca="1"/>
        <v>#NAME?</v>
      </c>
      <c r="B89" s="33" t="str">
        <f ca="1">IFERROR(__xludf.DUMMYFUNCTION("""COMPUTED_VALUE"""),"")</f>
        <v/>
      </c>
      <c r="C89" s="34" t="e">
        <f ca="1"/>
        <v>#NAME?</v>
      </c>
      <c r="D89" s="35" t="str">
        <f ca="1">IFERROR(__xludf.DUMMYFUNCTION("""COMPUTED_VALUE"""),"")</f>
        <v/>
      </c>
      <c r="E89" s="34" t="e">
        <f ca="1"/>
        <v>#NAME?</v>
      </c>
      <c r="F89" s="34" t="e">
        <f ca="1"/>
        <v>#NAME?</v>
      </c>
    </row>
    <row r="90" spans="1:6" ht="39.049999999999997" customHeight="1">
      <c r="A90" s="32" t="e">
        <f ca="1"/>
        <v>#NAME?</v>
      </c>
      <c r="B90" s="33" t="str">
        <f ca="1">IFERROR(__xludf.DUMMYFUNCTION("""COMPUTED_VALUE"""),"")</f>
        <v/>
      </c>
      <c r="C90" s="34" t="e">
        <f ca="1"/>
        <v>#NAME?</v>
      </c>
      <c r="D90" s="35" t="str">
        <f ca="1">IFERROR(__xludf.DUMMYFUNCTION("""COMPUTED_VALUE"""),"")</f>
        <v/>
      </c>
      <c r="E90" s="34" t="e">
        <f ca="1"/>
        <v>#NAME?</v>
      </c>
      <c r="F90" s="34" t="e">
        <f ca="1"/>
        <v>#NAME?</v>
      </c>
    </row>
    <row r="91" spans="1:6" ht="39.049999999999997" customHeight="1">
      <c r="A91" s="32" t="e">
        <f ca="1"/>
        <v>#NAME?</v>
      </c>
      <c r="B91" s="33" t="str">
        <f ca="1">IFERROR(__xludf.DUMMYFUNCTION("""COMPUTED_VALUE"""),"")</f>
        <v/>
      </c>
      <c r="C91" s="34" t="e">
        <f ca="1"/>
        <v>#NAME?</v>
      </c>
      <c r="D91" s="35" t="str">
        <f ca="1">IFERROR(__xludf.DUMMYFUNCTION("""COMPUTED_VALUE"""),"")</f>
        <v/>
      </c>
      <c r="E91" s="34" t="e">
        <f ca="1"/>
        <v>#NAME?</v>
      </c>
      <c r="F91" s="34" t="e">
        <f ca="1"/>
        <v>#NAME?</v>
      </c>
    </row>
    <row r="92" spans="1:6" ht="39.049999999999997" customHeight="1">
      <c r="A92" s="32" t="e">
        <f ca="1"/>
        <v>#NAME?</v>
      </c>
      <c r="B92" s="33" t="str">
        <f ca="1">IFERROR(__xludf.DUMMYFUNCTION("""COMPUTED_VALUE"""),"")</f>
        <v/>
      </c>
      <c r="C92" s="34" t="e">
        <f ca="1"/>
        <v>#NAME?</v>
      </c>
      <c r="D92" s="35" t="str">
        <f ca="1">IFERROR(__xludf.DUMMYFUNCTION("""COMPUTED_VALUE"""),"תקשורת, פעילויות, עובדים, נותני שירות, משרדיות")</f>
        <v>תקשורת, פעילויות, עובדים, נותני שירות, משרדיות</v>
      </c>
      <c r="E92" s="34" t="e">
        <f ca="1"/>
        <v>#NAME?</v>
      </c>
      <c r="F92" s="34" t="e">
        <f ca="1"/>
        <v>#NAME?</v>
      </c>
    </row>
    <row r="93" spans="1:6" ht="39.049999999999997" customHeight="1">
      <c r="A93" s="32" t="e">
        <f ca="1"/>
        <v>#NAME?</v>
      </c>
      <c r="B93" s="33" t="str">
        <f ca="1">IFERROR(__xludf.DUMMYFUNCTION("""COMPUTED_VALUE"""),"")</f>
        <v/>
      </c>
      <c r="C93" s="34" t="e">
        <f ca="1"/>
        <v>#NAME?</v>
      </c>
      <c r="D93" s="35" t="str">
        <f ca="1">IFERROR(__xludf.DUMMYFUNCTION("""COMPUTED_VALUE"""),"")</f>
        <v/>
      </c>
      <c r="E93" s="34" t="e">
        <f ca="1"/>
        <v>#NAME?</v>
      </c>
      <c r="F93" s="34" t="e">
        <f ca="1"/>
        <v>#NAME?</v>
      </c>
    </row>
    <row r="94" spans="1:6" ht="39.049999999999997" customHeight="1">
      <c r="A94" s="32" t="e">
        <f ca="1"/>
        <v>#NAME?</v>
      </c>
      <c r="B94" s="33" t="str">
        <f ca="1">IFERROR(__xludf.DUMMYFUNCTION("""COMPUTED_VALUE"""),"רשות")</f>
        <v>רשות</v>
      </c>
      <c r="C94" s="34" t="e">
        <f ca="1"/>
        <v>#NAME?</v>
      </c>
      <c r="D94" s="35" t="str">
        <f ca="1">IFERROR(__xludf.DUMMYFUNCTION("""COMPUTED_VALUE"""),"שכר")</f>
        <v>שכר</v>
      </c>
      <c r="E94" s="34" t="e">
        <f ca="1"/>
        <v>#NAME?</v>
      </c>
      <c r="F94" s="34" t="e">
        <f ca="1"/>
        <v>#NAME?</v>
      </c>
    </row>
    <row r="95" spans="1:6" ht="39.049999999999997" customHeight="1">
      <c r="A95" s="32" t="e">
        <f ca="1"/>
        <v>#NAME?</v>
      </c>
      <c r="B95" s="33" t="str">
        <f ca="1">IFERROR(__xludf.DUMMYFUNCTION("""COMPUTED_VALUE"""),"")</f>
        <v/>
      </c>
      <c r="C95" s="34" t="e">
        <f ca="1"/>
        <v>#NAME?</v>
      </c>
      <c r="D95" s="35" t="str">
        <f ca="1">IFERROR(__xludf.DUMMYFUNCTION("""COMPUTED_VALUE"""),"תקשורת, אגרות ובנקים")</f>
        <v>תקשורת, אגרות ובנקים</v>
      </c>
      <c r="E95" s="34" t="e">
        <f ca="1"/>
        <v>#NAME?</v>
      </c>
      <c r="F95" s="34" t="e">
        <f ca="1"/>
        <v>#NAME?</v>
      </c>
    </row>
    <row r="96" spans="1:6" ht="39.049999999999997" customHeight="1">
      <c r="A96" s="32" t="e">
        <f ca="1"/>
        <v>#NAME?</v>
      </c>
      <c r="B96" s="33" t="str">
        <f ca="1">IFERROR(__xludf.DUMMYFUNCTION("""COMPUTED_VALUE"""),"")</f>
        <v/>
      </c>
      <c r="C96" s="34" t="e">
        <f ca="1"/>
        <v>#NAME?</v>
      </c>
      <c r="D96" s="35" t="str">
        <f ca="1">IFERROR(__xludf.DUMMYFUNCTION("""COMPUTED_VALUE"""),"")</f>
        <v/>
      </c>
      <c r="E96" s="34" t="e">
        <f ca="1"/>
        <v>#NAME?</v>
      </c>
      <c r="F96" s="34" t="e">
        <f ca="1"/>
        <v>#NAME?</v>
      </c>
    </row>
    <row r="97" spans="1:6" ht="39.049999999999997" customHeight="1">
      <c r="A97" s="32" t="e">
        <f ca="1"/>
        <v>#NAME?</v>
      </c>
      <c r="B97" s="33" t="str">
        <f ca="1">IFERROR(__xludf.DUMMYFUNCTION("""COMPUTED_VALUE"""),"")</f>
        <v/>
      </c>
      <c r="C97" s="34" t="e">
        <f ca="1"/>
        <v>#NAME?</v>
      </c>
      <c r="D97" s="35" t="str">
        <f ca="1">IFERROR(__xludf.DUMMYFUNCTION("""COMPUTED_VALUE"""),"")</f>
        <v/>
      </c>
      <c r="E97" s="34" t="e">
        <f ca="1"/>
        <v>#NAME?</v>
      </c>
      <c r="F97" s="34" t="e">
        <f ca="1"/>
        <v>#NAME?</v>
      </c>
    </row>
    <row r="98" spans="1:6" ht="39.049999999999997" customHeight="1">
      <c r="A98" s="32" t="e">
        <f ca="1"/>
        <v>#NAME?</v>
      </c>
      <c r="B98" s="33" t="str">
        <f ca="1">IFERROR(__xludf.DUMMYFUNCTION("""COMPUTED_VALUE"""),"")</f>
        <v/>
      </c>
      <c r="C98" s="34" t="e">
        <f ca="1"/>
        <v>#NAME?</v>
      </c>
      <c r="D98" s="35" t="str">
        <f ca="1">IFERROR(__xludf.DUMMYFUNCTION("""COMPUTED_VALUE"""),"שכר מדריכים")</f>
        <v>שכר מדריכים</v>
      </c>
      <c r="E98" s="34" t="e">
        <f ca="1"/>
        <v>#NAME?</v>
      </c>
      <c r="F98" s="34" t="e">
        <f ca="1"/>
        <v>#NAME?</v>
      </c>
    </row>
    <row r="99" spans="1:6" ht="39.049999999999997" customHeight="1">
      <c r="A99" s="32" t="e">
        <f ca="1"/>
        <v>#NAME?</v>
      </c>
      <c r="B99" s="33" t="str">
        <f ca="1">IFERROR(__xludf.DUMMYFUNCTION("""COMPUTED_VALUE"""),"")</f>
        <v/>
      </c>
      <c r="C99" s="34" t="e">
        <f ca="1"/>
        <v>#NAME?</v>
      </c>
      <c r="D99" s="35" t="str">
        <f ca="1">IFERROR(__xludf.DUMMYFUNCTION("""COMPUTED_VALUE"""),"")</f>
        <v/>
      </c>
      <c r="E99" s="34" t="e">
        <f ca="1"/>
        <v>#NAME?</v>
      </c>
      <c r="F99" s="34" t="e">
        <f ca="1"/>
        <v>#NAME?</v>
      </c>
    </row>
    <row r="100" spans="1:6" ht="39.049999999999997" customHeight="1">
      <c r="A100" s="32" t="e">
        <f ca="1"/>
        <v>#NAME?</v>
      </c>
      <c r="B100" s="33" t="str">
        <f ca="1">IFERROR(__xludf.DUMMYFUNCTION("""COMPUTED_VALUE"""),"")</f>
        <v/>
      </c>
      <c r="C100" s="34" t="e">
        <f ca="1"/>
        <v>#NAME?</v>
      </c>
      <c r="D100" s="35" t="str">
        <f ca="1">IFERROR(__xludf.DUMMYFUNCTION("""COMPUTED_VALUE"""),"")</f>
        <v/>
      </c>
      <c r="E100" s="34" t="e">
        <f ca="1"/>
        <v>#NAME?</v>
      </c>
      <c r="F100" s="34" t="e">
        <f ca="1"/>
        <v>#NAME?</v>
      </c>
    </row>
    <row r="101" spans="1:6" ht="39.049999999999997" customHeight="1">
      <c r="A101" s="32" t="e">
        <f ca="1"/>
        <v>#NAME?</v>
      </c>
      <c r="B101" s="33" t="str">
        <f ca="1">IFERROR(__xludf.DUMMYFUNCTION("""COMPUTED_VALUE"""),"")</f>
        <v/>
      </c>
      <c r="C101" s="34" t="e">
        <f ca="1"/>
        <v>#NAME?</v>
      </c>
      <c r="D101" s="35" t="str">
        <f ca="1">IFERROR(__xludf.DUMMYFUNCTION("""COMPUTED_VALUE"""),"")</f>
        <v/>
      </c>
      <c r="E101" s="34" t="e">
        <f ca="1"/>
        <v>#NAME?</v>
      </c>
      <c r="F101" s="34" t="e">
        <f ca="1"/>
        <v>#NAME?</v>
      </c>
    </row>
    <row r="102" spans="1:6" ht="39.049999999999997" customHeight="1">
      <c r="A102" s="32" t="e">
        <f ca="1"/>
        <v>#NAME?</v>
      </c>
      <c r="B102" s="33" t="str">
        <f ca="1">IFERROR(__xludf.DUMMYFUNCTION("""COMPUTED_VALUE"""),"")</f>
        <v/>
      </c>
      <c r="C102" s="34" t="e">
        <f ca="1"/>
        <v>#NAME?</v>
      </c>
      <c r="D102" s="35" t="str">
        <f ca="1">IFERROR(__xludf.DUMMYFUNCTION("""COMPUTED_VALUE"""),"")</f>
        <v/>
      </c>
      <c r="E102" s="34" t="e">
        <f ca="1"/>
        <v>#NAME?</v>
      </c>
      <c r="F102" s="34" t="e">
        <f ca="1"/>
        <v>#NAME?</v>
      </c>
    </row>
    <row r="103" spans="1:6" ht="39.049999999999997" customHeight="1">
      <c r="A103" s="32" t="e">
        <f ca="1"/>
        <v>#NAME?</v>
      </c>
      <c r="B103" s="33" t="str">
        <f ca="1">IFERROR(__xludf.DUMMYFUNCTION("""COMPUTED_VALUE"""),"")</f>
        <v/>
      </c>
      <c r="C103" s="34" t="e">
        <f ca="1"/>
        <v>#NAME?</v>
      </c>
      <c r="D103" s="35" t="str">
        <f ca="1">IFERROR(__xludf.DUMMYFUNCTION("""COMPUTED_VALUE"""),"משפטיות, ביטוח")</f>
        <v>משפטיות, ביטוח</v>
      </c>
      <c r="E103" s="34" t="e">
        <f ca="1"/>
        <v>#NAME?</v>
      </c>
      <c r="F103" s="34" t="e">
        <f ca="1"/>
        <v>#NAME?</v>
      </c>
    </row>
    <row r="104" spans="1:6" ht="39.049999999999997" customHeight="1">
      <c r="A104" s="32" t="e">
        <f ca="1"/>
        <v>#NAME?</v>
      </c>
      <c r="B104" s="33" t="str">
        <f ca="1">IFERROR(__xludf.DUMMYFUNCTION("""COMPUTED_VALUE"""),"")</f>
        <v/>
      </c>
      <c r="C104" s="34" t="e">
        <f ca="1"/>
        <v>#NAME?</v>
      </c>
      <c r="D104" s="35" t="str">
        <f ca="1">IFERROR(__xludf.DUMMYFUNCTION("""COMPUTED_VALUE"""),"")</f>
        <v/>
      </c>
      <c r="E104" s="34" t="e">
        <f ca="1"/>
        <v>#NAME?</v>
      </c>
      <c r="F104" s="34" t="e">
        <f ca="1"/>
        <v>#NAME?</v>
      </c>
    </row>
    <row r="105" spans="1:6" ht="39.049999999999997" customHeight="1">
      <c r="A105" s="32" t="e">
        <f ca="1"/>
        <v>#NAME?</v>
      </c>
      <c r="B105" s="33" t="str">
        <f ca="1">IFERROR(__xludf.DUMMYFUNCTION("""COMPUTED_VALUE"""),"")</f>
        <v/>
      </c>
      <c r="C105" s="34" t="e">
        <f ca="1"/>
        <v>#NAME?</v>
      </c>
      <c r="D105" s="35" t="str">
        <f ca="1">IFERROR(__xludf.DUMMYFUNCTION("""COMPUTED_VALUE"""),"נלוות לשכר")</f>
        <v>נלוות לשכר</v>
      </c>
      <c r="E105" s="34" t="e">
        <f ca="1"/>
        <v>#NAME?</v>
      </c>
      <c r="F105" s="34" t="e">
        <f ca="1"/>
        <v>#NAME?</v>
      </c>
    </row>
    <row r="106" spans="1:6" ht="39.049999999999997" customHeight="1">
      <c r="A106" s="32" t="e">
        <f ca="1"/>
        <v>#NAME?</v>
      </c>
      <c r="B106" s="33" t="str">
        <f ca="1">IFERROR(__xludf.DUMMYFUNCTION("""COMPUTED_VALUE"""),"")</f>
        <v/>
      </c>
      <c r="C106" s="34" t="e">
        <f ca="1"/>
        <v>#NAME?</v>
      </c>
      <c r="D106" s="35" t="str">
        <f ca="1">IFERROR(__xludf.DUMMYFUNCTION("""COMPUTED_VALUE"""),"")</f>
        <v/>
      </c>
      <c r="E106" s="34" t="e">
        <f ca="1"/>
        <v>#NAME?</v>
      </c>
      <c r="F106" s="34" t="e">
        <f ca="1"/>
        <v>#NAME?</v>
      </c>
    </row>
    <row r="107" spans="1:6" ht="39.049999999999997" customHeight="1">
      <c r="A107" s="32" t="e">
        <f ca="1"/>
        <v>#NAME?</v>
      </c>
      <c r="B107" s="33" t="str">
        <f ca="1">IFERROR(__xludf.DUMMYFUNCTION("""COMPUTED_VALUE"""),"")</f>
        <v/>
      </c>
      <c r="C107" s="34" t="e">
        <f ca="1"/>
        <v>#NAME?</v>
      </c>
      <c r="D107" s="35" t="str">
        <f ca="1">IFERROR(__xludf.DUMMYFUNCTION("""COMPUTED_VALUE"""),"שכר מדריכים")</f>
        <v>שכר מדריכים</v>
      </c>
      <c r="E107" s="34" t="e">
        <f ca="1"/>
        <v>#NAME?</v>
      </c>
      <c r="F107" s="34" t="e">
        <f ca="1"/>
        <v>#NAME?</v>
      </c>
    </row>
    <row r="108" spans="1:6" ht="39.049999999999997" customHeight="1">
      <c r="A108" s="32" t="e">
        <f ca="1"/>
        <v>#NAME?</v>
      </c>
      <c r="B108" s="33" t="str">
        <f ca="1">IFERROR(__xludf.DUMMYFUNCTION("""COMPUTED_VALUE"""),"גפן, מתנ""ס")</f>
        <v>גפן, מתנ"ס</v>
      </c>
      <c r="C108" s="34" t="e">
        <f ca="1"/>
        <v>#NAME?</v>
      </c>
      <c r="D108" s="35" t="str">
        <f ca="1">IFERROR(__xludf.DUMMYFUNCTION("""COMPUTED_VALUE"""),"עמלות (יעל אביב)")</f>
        <v>עמלות (יעל אביב)</v>
      </c>
      <c r="E108" s="34" t="e">
        <f ca="1"/>
        <v>#NAME?</v>
      </c>
      <c r="F108" s="34" t="e">
        <f ca="1"/>
        <v>#NAME?</v>
      </c>
    </row>
    <row r="109" spans="1:6" ht="39.049999999999997" customHeight="1">
      <c r="A109" s="32" t="e">
        <f ca="1"/>
        <v>#NAME?</v>
      </c>
      <c r="B109" s="33" t="str">
        <f ca="1">IFERROR(__xludf.DUMMYFUNCTION("""COMPUTED_VALUE"""),"")</f>
        <v/>
      </c>
      <c r="C109" s="34" t="e">
        <f ca="1"/>
        <v>#NAME?</v>
      </c>
      <c r="D109" s="35" t="str">
        <f ca="1">IFERROR(__xludf.DUMMYFUNCTION("""COMPUTED_VALUE"""),"")</f>
        <v/>
      </c>
      <c r="E109" s="34" t="e">
        <f ca="1"/>
        <v>#NAME?</v>
      </c>
      <c r="F109" s="34" t="e">
        <f ca="1"/>
        <v>#NAME?</v>
      </c>
    </row>
    <row r="110" spans="1:6" ht="39.049999999999997" customHeight="1">
      <c r="A110" s="32" t="e">
        <f ca="1"/>
        <v>#NAME?</v>
      </c>
      <c r="B110" s="33" t="str">
        <f ca="1">IFERROR(__xludf.DUMMYFUNCTION("""COMPUTED_VALUE"""),"")</f>
        <v/>
      </c>
      <c r="C110" s="34" t="e">
        <f ca="1"/>
        <v>#NAME?</v>
      </c>
      <c r="D110" s="35" t="str">
        <f ca="1">IFERROR(__xludf.DUMMYFUNCTION("""COMPUTED_VALUE"""),"")</f>
        <v/>
      </c>
      <c r="E110" s="34" t="e">
        <f ca="1"/>
        <v>#NAME?</v>
      </c>
      <c r="F110" s="34" t="e">
        <f ca="1"/>
        <v>#NAME?</v>
      </c>
    </row>
    <row r="111" spans="1:6" ht="39.049999999999997" customHeight="1">
      <c r="A111" s="32" t="e">
        <f ca="1"/>
        <v>#NAME?</v>
      </c>
      <c r="B111" s="33" t="str">
        <f ca="1">IFERROR(__xludf.DUMMYFUNCTION("""COMPUTED_VALUE"""),"")</f>
        <v/>
      </c>
      <c r="C111" s="34" t="e">
        <f ca="1"/>
        <v>#NAME?</v>
      </c>
      <c r="D111" s="35" t="str">
        <f ca="1">IFERROR(__xludf.DUMMYFUNCTION("""COMPUTED_VALUE"""),"שכר, משרדיות, עובדים")</f>
        <v>שכר, משרדיות, עובדים</v>
      </c>
      <c r="E111" s="34" t="e">
        <f ca="1"/>
        <v>#NAME?</v>
      </c>
      <c r="F111" s="34" t="e">
        <f ca="1"/>
        <v>#NAME?</v>
      </c>
    </row>
    <row r="112" spans="1:6" ht="39.049999999999997" customHeight="1">
      <c r="A112" s="32" t="e">
        <f ca="1"/>
        <v>#NAME?</v>
      </c>
      <c r="B112" s="33" t="str">
        <f ca="1">IFERROR(__xludf.DUMMYFUNCTION("""COMPUTED_VALUE"""),"")</f>
        <v/>
      </c>
      <c r="C112" s="34" t="e">
        <f ca="1"/>
        <v>#NAME?</v>
      </c>
      <c r="D112" s="35" t="str">
        <f ca="1">IFERROR(__xludf.DUMMYFUNCTION("""COMPUTED_VALUE"""),"")</f>
        <v/>
      </c>
      <c r="E112" s="34" t="e">
        <f ca="1"/>
        <v>#NAME?</v>
      </c>
      <c r="F112" s="34" t="e">
        <f ca="1"/>
        <v>#NAME?</v>
      </c>
    </row>
    <row r="113" spans="1:6" ht="39.049999999999997" customHeight="1">
      <c r="A113" s="32" t="e">
        <f ca="1"/>
        <v>#NAME?</v>
      </c>
      <c r="B113" s="33" t="str">
        <f ca="1">IFERROR(__xludf.DUMMYFUNCTION("""COMPUTED_VALUE"""),"")</f>
        <v/>
      </c>
      <c r="C113" s="34" t="e">
        <f ca="1"/>
        <v>#NAME?</v>
      </c>
      <c r="D113" s="35" t="str">
        <f ca="1">IFERROR(__xludf.DUMMYFUNCTION("""COMPUTED_VALUE"""),"נלוות לשכר")</f>
        <v>נלוות לשכר</v>
      </c>
      <c r="E113" s="34" t="e">
        <f ca="1"/>
        <v>#NAME?</v>
      </c>
      <c r="F113" s="34" t="e">
        <f ca="1"/>
        <v>#NAME?</v>
      </c>
    </row>
    <row r="114" spans="1:6" ht="39.049999999999997" customHeight="1">
      <c r="A114" s="32" t="e">
        <f ca="1"/>
        <v>#NAME?</v>
      </c>
      <c r="B114" s="33" t="str">
        <f ca="1">IFERROR(__xludf.DUMMYFUNCTION("""COMPUTED_VALUE"""),"")</f>
        <v/>
      </c>
      <c r="C114" s="34" t="e">
        <f ca="1"/>
        <v>#NAME?</v>
      </c>
      <c r="D114" s="35" t="str">
        <f ca="1">IFERROR(__xludf.DUMMYFUNCTION("""COMPUTED_VALUE"""),"")</f>
        <v/>
      </c>
      <c r="E114" s="34" t="e">
        <f ca="1"/>
        <v>#NAME?</v>
      </c>
      <c r="F114" s="34" t="e">
        <f ca="1"/>
        <v>#NAME?</v>
      </c>
    </row>
    <row r="115" spans="1:6" ht="39.049999999999997" customHeight="1">
      <c r="A115" s="32" t="e">
        <f ca="1"/>
        <v>#NAME?</v>
      </c>
      <c r="B115" s="33" t="str">
        <f ca="1">IFERROR(__xludf.DUMMYFUNCTION("""COMPUTED_VALUE"""),"")</f>
        <v/>
      </c>
      <c r="C115" s="34" t="e">
        <f ca="1"/>
        <v>#NAME?</v>
      </c>
      <c r="D115" s="35" t="str">
        <f ca="1">IFERROR(__xludf.DUMMYFUNCTION("""COMPUTED_VALUE"""),"הלוואה")</f>
        <v>הלוואה</v>
      </c>
      <c r="E115" s="34" t="e">
        <f ca="1"/>
        <v>#NAME?</v>
      </c>
      <c r="F115" s="34" t="e">
        <f ca="1"/>
        <v>#NAME?</v>
      </c>
    </row>
    <row r="116" spans="1:6" ht="39.049999999999997" customHeight="1">
      <c r="A116" s="32" t="e">
        <f ca="1"/>
        <v>#NAME?</v>
      </c>
      <c r="B116" s="33" t="str">
        <f ca="1">IFERROR(__xludf.DUMMYFUNCTION("""COMPUTED_VALUE"""),"")</f>
        <v/>
      </c>
      <c r="C116" s="34" t="e">
        <f ca="1"/>
        <v>#NAME?</v>
      </c>
      <c r="D116" s="35" t="str">
        <f ca="1">IFERROR(__xludf.DUMMYFUNCTION("""COMPUTED_VALUE"""),"")</f>
        <v/>
      </c>
      <c r="E116" s="34" t="e">
        <f ca="1"/>
        <v>#NAME?</v>
      </c>
      <c r="F116" s="34" t="e">
        <f ca="1"/>
        <v>#NAME?</v>
      </c>
    </row>
    <row r="117" spans="1:6" ht="39.049999999999997" customHeight="1">
      <c r="A117" s="32" t="e">
        <f ca="1"/>
        <v>#NAME?</v>
      </c>
      <c r="B117" s="33" t="str">
        <f ca="1">IFERROR(__xludf.DUMMYFUNCTION("""COMPUTED_VALUE"""),"")</f>
        <v/>
      </c>
      <c r="C117" s="34" t="e">
        <f ca="1"/>
        <v>#NAME?</v>
      </c>
      <c r="D117" s="35" t="str">
        <f ca="1">IFERROR(__xludf.DUMMYFUNCTION("""COMPUTED_VALUE"""),"")</f>
        <v/>
      </c>
      <c r="E117" s="34" t="e">
        <f ca="1"/>
        <v>#NAME?</v>
      </c>
      <c r="F117" s="34" t="e">
        <f ca="1"/>
        <v>#NAME?</v>
      </c>
    </row>
    <row r="118" spans="1:6" ht="39.049999999999997" customHeight="1">
      <c r="A118" s="32" t="e">
        <f ca="1"/>
        <v>#NAME?</v>
      </c>
      <c r="B118" s="33" t="str">
        <f ca="1">IFERROR(__xludf.DUMMYFUNCTION("""COMPUTED_VALUE"""),"")</f>
        <v/>
      </c>
      <c r="C118" s="34" t="e">
        <f ca="1"/>
        <v>#NAME?</v>
      </c>
      <c r="D118" s="35" t="str">
        <f ca="1">IFERROR(__xludf.DUMMYFUNCTION("""COMPUTED_VALUE"""),"")</f>
        <v/>
      </c>
      <c r="E118" s="34" t="e">
        <f ca="1"/>
        <v>#NAME?</v>
      </c>
      <c r="F118" s="34" t="e">
        <f ca="1"/>
        <v>#NAME?</v>
      </c>
    </row>
    <row r="119" spans="1:6" ht="39.049999999999997" customHeight="1">
      <c r="A119" s="32" t="e">
        <f ca="1"/>
        <v>#NAME?</v>
      </c>
      <c r="B119" s="33" t="str">
        <f ca="1">IFERROR(__xludf.DUMMYFUNCTION("""COMPUTED_VALUE"""),"")</f>
        <v/>
      </c>
      <c r="C119" s="34" t="e">
        <f ca="1"/>
        <v>#NAME?</v>
      </c>
      <c r="D119" s="35" t="str">
        <f ca="1">IFERROR(__xludf.DUMMYFUNCTION("""COMPUTED_VALUE"""),"")</f>
        <v/>
      </c>
      <c r="E119" s="34" t="e">
        <f ca="1"/>
        <v>#NAME?</v>
      </c>
      <c r="F119" s="34" t="e">
        <f ca="1"/>
        <v>#NAME?</v>
      </c>
    </row>
    <row r="120" spans="1:6" ht="39.049999999999997" customHeight="1">
      <c r="A120" s="32" t="e">
        <f ca="1"/>
        <v>#NAME?</v>
      </c>
      <c r="B120" s="33" t="str">
        <f ca="1">IFERROR(__xludf.DUMMYFUNCTION("""COMPUTED_VALUE"""),"")</f>
        <v/>
      </c>
      <c r="C120" s="34" t="e">
        <f ca="1"/>
        <v>#NAME?</v>
      </c>
      <c r="D120" s="35" t="str">
        <f ca="1">IFERROR(__xludf.DUMMYFUNCTION("""COMPUTED_VALUE"""),"")</f>
        <v/>
      </c>
      <c r="E120" s="34" t="e">
        <f ca="1"/>
        <v>#NAME?</v>
      </c>
      <c r="F120" s="34" t="e">
        <f ca="1"/>
        <v>#NAME?</v>
      </c>
    </row>
    <row r="121" spans="1:6" ht="39.049999999999997" customHeight="1">
      <c r="A121" s="32" t="e">
        <f ca="1"/>
        <v>#NAME?</v>
      </c>
      <c r="B121" s="33" t="str">
        <f ca="1">IFERROR(__xludf.DUMMYFUNCTION("""COMPUTED_VALUE"""),"")</f>
        <v/>
      </c>
      <c r="C121" s="34" t="e">
        <f ca="1"/>
        <v>#NAME?</v>
      </c>
      <c r="D121" s="35" t="str">
        <f ca="1">IFERROR(__xludf.DUMMYFUNCTION("""COMPUTED_VALUE"""),"")</f>
        <v/>
      </c>
      <c r="E121" s="34" t="e">
        <f ca="1"/>
        <v>#NAME?</v>
      </c>
      <c r="F121" s="34" t="e">
        <f ca="1"/>
        <v>#NAME?</v>
      </c>
    </row>
    <row r="122" spans="1:6" ht="39.049999999999997" customHeight="1">
      <c r="A122" s="32" t="e">
        <f ca="1"/>
        <v>#NAME?</v>
      </c>
      <c r="B122" s="33" t="str">
        <f ca="1">IFERROR(__xludf.DUMMYFUNCTION("""COMPUTED_VALUE"""),"")</f>
        <v/>
      </c>
      <c r="C122" s="34" t="e">
        <f ca="1"/>
        <v>#NAME?</v>
      </c>
      <c r="D122" s="35" t="str">
        <f ca="1">IFERROR(__xludf.DUMMYFUNCTION("""COMPUTED_VALUE"""),"")</f>
        <v/>
      </c>
      <c r="E122" s="34" t="e">
        <f ca="1"/>
        <v>#NAME?</v>
      </c>
      <c r="F122" s="34" t="e">
        <f ca="1"/>
        <v>#NAME?</v>
      </c>
    </row>
    <row r="123" spans="1:6" ht="39.049999999999997" customHeight="1">
      <c r="A123" s="32" t="e">
        <f ca="1"/>
        <v>#NAME?</v>
      </c>
      <c r="B123" s="33" t="str">
        <f ca="1">IFERROR(__xludf.DUMMYFUNCTION("""COMPUTED_VALUE"""),"")</f>
        <v/>
      </c>
      <c r="C123" s="34" t="e">
        <f ca="1"/>
        <v>#NAME?</v>
      </c>
      <c r="D123" s="35" t="str">
        <f ca="1">IFERROR(__xludf.DUMMYFUNCTION("""COMPUTED_VALUE"""),"תקשורת, פעילויות, עובדים, נותני שירות, משרדיות")</f>
        <v>תקשורת, פעילויות, עובדים, נותני שירות, משרדיות</v>
      </c>
      <c r="E123" s="34" t="e">
        <f ca="1"/>
        <v>#NAME?</v>
      </c>
      <c r="F123" s="34" t="e">
        <f ca="1"/>
        <v>#NAME?</v>
      </c>
    </row>
    <row r="124" spans="1:6" ht="39.049999999999997" customHeight="1">
      <c r="A124" s="32" t="e">
        <f ca="1"/>
        <v>#NAME?</v>
      </c>
      <c r="B124" s="33" t="str">
        <f ca="1">IFERROR(__xludf.DUMMYFUNCTION("""COMPUTED_VALUE"""),"היי-דרוז")</f>
        <v>היי-דרוז</v>
      </c>
      <c r="C124" s="34" t="e">
        <f ca="1"/>
        <v>#NAME?</v>
      </c>
      <c r="D124" s="35" t="str">
        <f ca="1">IFERROR(__xludf.DUMMYFUNCTION("""COMPUTED_VALUE"""),"שכר")</f>
        <v>שכר</v>
      </c>
      <c r="E124" s="34" t="e">
        <f ca="1"/>
        <v>#NAME?</v>
      </c>
      <c r="F124" s="34" t="e">
        <f ca="1"/>
        <v>#NAME?</v>
      </c>
    </row>
    <row r="125" spans="1:6" ht="39.049999999999997" customHeight="1">
      <c r="A125" s="32" t="e">
        <f ca="1"/>
        <v>#NAME?</v>
      </c>
      <c r="B125" s="33" t="str">
        <f ca="1">IFERROR(__xludf.DUMMYFUNCTION("""COMPUTED_VALUE"""),"")</f>
        <v/>
      </c>
      <c r="C125" s="34" t="e">
        <f ca="1"/>
        <v>#NAME?</v>
      </c>
      <c r="D125" s="35" t="str">
        <f ca="1">IFERROR(__xludf.DUMMYFUNCTION("""COMPUTED_VALUE"""),"תקשורת, אגרות ובנקים")</f>
        <v>תקשורת, אגרות ובנקים</v>
      </c>
      <c r="E125" s="34" t="e">
        <f ca="1"/>
        <v>#NAME?</v>
      </c>
      <c r="F125" s="34" t="e">
        <f ca="1"/>
        <v>#NAME?</v>
      </c>
    </row>
    <row r="126" spans="1:6" ht="39.049999999999997" customHeight="1">
      <c r="A126" s="32" t="e">
        <f ca="1"/>
        <v>#NAME?</v>
      </c>
      <c r="B126" s="33" t="str">
        <f ca="1">IFERROR(__xludf.DUMMYFUNCTION("""COMPUTED_VALUE"""),"")</f>
        <v/>
      </c>
      <c r="C126" s="34" t="e">
        <f ca="1"/>
        <v>#NAME?</v>
      </c>
      <c r="D126" s="35" t="str">
        <f ca="1">IFERROR(__xludf.DUMMYFUNCTION("""COMPUTED_VALUE"""),"")</f>
        <v/>
      </c>
      <c r="E126" s="34" t="e">
        <f ca="1"/>
        <v>#NAME?</v>
      </c>
      <c r="F126" s="34" t="e">
        <f ca="1"/>
        <v>#NAME?</v>
      </c>
    </row>
    <row r="127" spans="1:6" ht="39.049999999999997" customHeight="1">
      <c r="A127" s="32" t="e">
        <f ca="1"/>
        <v>#NAME?</v>
      </c>
      <c r="B127" s="33" t="str">
        <f ca="1">IFERROR(__xludf.DUMMYFUNCTION("""COMPUTED_VALUE"""),"")</f>
        <v/>
      </c>
      <c r="C127" s="34" t="e">
        <f ca="1"/>
        <v>#NAME?</v>
      </c>
      <c r="D127" s="35" t="str">
        <f ca="1">IFERROR(__xludf.DUMMYFUNCTION("""COMPUTED_VALUE"""),"")</f>
        <v/>
      </c>
      <c r="E127" s="34" t="e">
        <f ca="1"/>
        <v>#NAME?</v>
      </c>
      <c r="F127" s="34" t="e">
        <f ca="1"/>
        <v>#NAME?</v>
      </c>
    </row>
    <row r="128" spans="1:6" ht="39.049999999999997" customHeight="1">
      <c r="A128" s="32" t="e">
        <f ca="1"/>
        <v>#NAME?</v>
      </c>
      <c r="B128" s="33" t="str">
        <f ca="1">IFERROR(__xludf.DUMMYFUNCTION("""COMPUTED_VALUE"""),"")</f>
        <v/>
      </c>
      <c r="C128" s="34" t="e">
        <f ca="1"/>
        <v>#NAME?</v>
      </c>
      <c r="D128" s="35" t="str">
        <f ca="1">IFERROR(__xludf.DUMMYFUNCTION("""COMPUTED_VALUE"""),"שכר מדריכים")</f>
        <v>שכר מדריכים</v>
      </c>
      <c r="E128" s="34" t="e">
        <f ca="1"/>
        <v>#NAME?</v>
      </c>
      <c r="F128" s="34" t="e">
        <f ca="1"/>
        <v>#NAME?</v>
      </c>
    </row>
    <row r="129" spans="1:6" ht="39.049999999999997" customHeight="1">
      <c r="A129" s="32" t="e">
        <f ca="1"/>
        <v>#NAME?</v>
      </c>
      <c r="B129" s="33" t="str">
        <f ca="1">IFERROR(__xludf.DUMMYFUNCTION("""COMPUTED_VALUE"""),"")</f>
        <v/>
      </c>
      <c r="C129" s="34" t="e">
        <f ca="1"/>
        <v>#NAME?</v>
      </c>
      <c r="D129" s="35" t="str">
        <f ca="1">IFERROR(__xludf.DUMMYFUNCTION("""COMPUTED_VALUE"""),"")</f>
        <v/>
      </c>
      <c r="E129" s="34" t="e">
        <f ca="1"/>
        <v>#NAME?</v>
      </c>
      <c r="F129" s="34" t="e">
        <f ca="1"/>
        <v>#NAME?</v>
      </c>
    </row>
    <row r="130" spans="1:6" ht="39.049999999999997" customHeight="1">
      <c r="A130" s="32" t="e">
        <f ca="1"/>
        <v>#NAME?</v>
      </c>
      <c r="B130" s="33" t="str">
        <f ca="1">IFERROR(__xludf.DUMMYFUNCTION("""COMPUTED_VALUE"""),"")</f>
        <v/>
      </c>
      <c r="C130" s="34" t="e">
        <f ca="1"/>
        <v>#NAME?</v>
      </c>
      <c r="D130" s="35" t="str">
        <f ca="1">IFERROR(__xludf.DUMMYFUNCTION("""COMPUTED_VALUE"""),"")</f>
        <v/>
      </c>
      <c r="E130" s="34" t="e">
        <f ca="1"/>
        <v>#NAME?</v>
      </c>
      <c r="F130" s="34" t="e">
        <f ca="1"/>
        <v>#NAME?</v>
      </c>
    </row>
    <row r="131" spans="1:6" ht="39.049999999999997" customHeight="1">
      <c r="A131" s="32" t="e">
        <f ca="1"/>
        <v>#NAME?</v>
      </c>
      <c r="B131" s="33" t="str">
        <f ca="1">IFERROR(__xludf.DUMMYFUNCTION("""COMPUTED_VALUE"""),"")</f>
        <v/>
      </c>
      <c r="C131" s="34" t="e">
        <f ca="1"/>
        <v>#NAME?</v>
      </c>
      <c r="D131" s="35" t="str">
        <f ca="1">IFERROR(__xludf.DUMMYFUNCTION("""COMPUTED_VALUE"""),"")</f>
        <v/>
      </c>
      <c r="E131" s="34" t="e">
        <f ca="1"/>
        <v>#NAME?</v>
      </c>
      <c r="F131" s="34" t="e">
        <f ca="1"/>
        <v>#NAME?</v>
      </c>
    </row>
    <row r="132" spans="1:6" ht="39.049999999999997" customHeight="1">
      <c r="A132" s="32" t="e">
        <f ca="1"/>
        <v>#NAME?</v>
      </c>
      <c r="B132" s="33" t="str">
        <f ca="1">IFERROR(__xludf.DUMMYFUNCTION("""COMPUTED_VALUE"""),"")</f>
        <v/>
      </c>
      <c r="C132" s="34" t="e">
        <f ca="1"/>
        <v>#NAME?</v>
      </c>
      <c r="D132" s="35" t="str">
        <f ca="1">IFERROR(__xludf.DUMMYFUNCTION("""COMPUTED_VALUE"""),"")</f>
        <v/>
      </c>
      <c r="E132" s="34" t="e">
        <f ca="1"/>
        <v>#NAME?</v>
      </c>
      <c r="F132" s="34" t="e">
        <f ca="1"/>
        <v>#NAME?</v>
      </c>
    </row>
    <row r="133" spans="1:6" ht="39.049999999999997" customHeight="1">
      <c r="A133" s="32" t="e">
        <f ca="1"/>
        <v>#NAME?</v>
      </c>
      <c r="B133" s="33" t="str">
        <f ca="1">IFERROR(__xludf.DUMMYFUNCTION("""COMPUTED_VALUE"""),"")</f>
        <v/>
      </c>
      <c r="C133" s="34" t="e">
        <f ca="1"/>
        <v>#NAME?</v>
      </c>
      <c r="D133" s="35" t="str">
        <f ca="1">IFERROR(__xludf.DUMMYFUNCTION("""COMPUTED_VALUE"""),"משפטיות, ביטוח")</f>
        <v>משפטיות, ביטוח</v>
      </c>
      <c r="E133" s="34" t="e">
        <f ca="1"/>
        <v>#NAME?</v>
      </c>
      <c r="F133" s="34" t="e">
        <f ca="1"/>
        <v>#NAME?</v>
      </c>
    </row>
    <row r="134" spans="1:6" ht="39.049999999999997" customHeight="1">
      <c r="A134" s="32" t="e">
        <f ca="1"/>
        <v>#NAME?</v>
      </c>
      <c r="B134" s="33" t="str">
        <f ca="1">IFERROR(__xludf.DUMMYFUNCTION("""COMPUTED_VALUE"""),"")</f>
        <v/>
      </c>
      <c r="C134" s="34" t="e">
        <f ca="1"/>
        <v>#NAME?</v>
      </c>
      <c r="D134" s="35" t="str">
        <f ca="1">IFERROR(__xludf.DUMMYFUNCTION("""COMPUTED_VALUE"""),"")</f>
        <v/>
      </c>
      <c r="E134" s="34" t="e">
        <f ca="1"/>
        <v>#NAME?</v>
      </c>
      <c r="F134" s="34" t="e">
        <f ca="1"/>
        <v>#NAME?</v>
      </c>
    </row>
    <row r="135" spans="1:6" ht="39.049999999999997" customHeight="1">
      <c r="A135" s="32" t="e">
        <f ca="1"/>
        <v>#NAME?</v>
      </c>
      <c r="B135" s="33" t="str">
        <f ca="1">IFERROR(__xludf.DUMMYFUNCTION("""COMPUTED_VALUE"""),"")</f>
        <v/>
      </c>
      <c r="C135" s="34" t="e">
        <f ca="1"/>
        <v>#NAME?</v>
      </c>
      <c r="D135" s="35" t="str">
        <f ca="1">IFERROR(__xludf.DUMMYFUNCTION("""COMPUTED_VALUE"""),"נלוות לשכר")</f>
        <v>נלוות לשכר</v>
      </c>
      <c r="E135" s="34" t="e">
        <f ca="1"/>
        <v>#NAME?</v>
      </c>
      <c r="F135" s="34" t="e">
        <f ca="1"/>
        <v>#NAME?</v>
      </c>
    </row>
    <row r="136" spans="1:6" ht="39.049999999999997" customHeight="1">
      <c r="A136" s="32" t="e">
        <f ca="1"/>
        <v>#NAME?</v>
      </c>
      <c r="B136" s="33" t="str">
        <f ca="1">IFERROR(__xludf.DUMMYFUNCTION("""COMPUTED_VALUE"""),"")</f>
        <v/>
      </c>
      <c r="C136" s="34" t="e">
        <f ca="1"/>
        <v>#NAME?</v>
      </c>
      <c r="D136" s="35" t="str">
        <f ca="1">IFERROR(__xludf.DUMMYFUNCTION("""COMPUTED_VALUE"""),"")</f>
        <v/>
      </c>
      <c r="E136" s="34" t="e">
        <f ca="1"/>
        <v>#NAME?</v>
      </c>
      <c r="F136" s="34" t="e">
        <f ca="1"/>
        <v>#NAME?</v>
      </c>
    </row>
    <row r="137" spans="1:6" ht="39.049999999999997" customHeight="1">
      <c r="A137" s="32" t="e">
        <f ca="1"/>
        <v>#NAME?</v>
      </c>
      <c r="B137" s="33" t="str">
        <f ca="1">IFERROR(__xludf.DUMMYFUNCTION("""COMPUTED_VALUE"""),"")</f>
        <v/>
      </c>
      <c r="C137" s="34" t="e">
        <f ca="1"/>
        <v>#NAME?</v>
      </c>
      <c r="D137" s="35" t="str">
        <f ca="1">IFERROR(__xludf.DUMMYFUNCTION("""COMPUTED_VALUE"""),"שכר מדריכים")</f>
        <v>שכר מדריכים</v>
      </c>
      <c r="E137" s="34" t="e">
        <f ca="1"/>
        <v>#NAME?</v>
      </c>
      <c r="F137" s="34" t="e">
        <f ca="1"/>
        <v>#NAME?</v>
      </c>
    </row>
    <row r="138" spans="1:6" ht="39.049999999999997" customHeight="1">
      <c r="A138" s="32" t="e">
        <f ca="1"/>
        <v>#NAME?</v>
      </c>
      <c r="B138" s="33" t="str">
        <f ca="1">IFERROR(__xludf.DUMMYFUNCTION("""COMPUTED_VALUE"""),"")</f>
        <v/>
      </c>
      <c r="C138" s="34" t="e">
        <f ca="1"/>
        <v>#NAME?</v>
      </c>
      <c r="D138" s="35" t="str">
        <f ca="1">IFERROR(__xludf.DUMMYFUNCTION("""COMPUTED_VALUE"""),"עמלות (יעל אביב)")</f>
        <v>עמלות (יעל אביב)</v>
      </c>
      <c r="E138" s="34" t="e">
        <f ca="1"/>
        <v>#NAME?</v>
      </c>
      <c r="F138" s="34" t="e">
        <f ca="1"/>
        <v>#NAME?</v>
      </c>
    </row>
    <row r="139" spans="1:6" ht="39.049999999999997" customHeight="1">
      <c r="A139" s="32" t="e">
        <f ca="1"/>
        <v>#NAME?</v>
      </c>
      <c r="B139" s="33" t="str">
        <f ca="1">IFERROR(__xludf.DUMMYFUNCTION("""COMPUTED_VALUE"""),"")</f>
        <v/>
      </c>
      <c r="C139" s="34" t="e">
        <f ca="1"/>
        <v>#NAME?</v>
      </c>
      <c r="D139" s="35" t="str">
        <f ca="1">IFERROR(__xludf.DUMMYFUNCTION("""COMPUTED_VALUE"""),"")</f>
        <v/>
      </c>
      <c r="E139" s="34" t="e">
        <f ca="1"/>
        <v>#NAME?</v>
      </c>
      <c r="F139" s="34" t="e">
        <f ca="1"/>
        <v>#NAME?</v>
      </c>
    </row>
    <row r="140" spans="1:6" ht="39.049999999999997" customHeight="1">
      <c r="A140" s="32" t="e">
        <f ca="1"/>
        <v>#NAME?</v>
      </c>
      <c r="B140" s="33" t="str">
        <f ca="1">IFERROR(__xludf.DUMMYFUNCTION("""COMPUTED_VALUE"""),"")</f>
        <v/>
      </c>
      <c r="C140" s="34" t="e">
        <f ca="1"/>
        <v>#NAME?</v>
      </c>
      <c r="D140" s="35" t="str">
        <f ca="1">IFERROR(__xludf.DUMMYFUNCTION("""COMPUTED_VALUE"""),"")</f>
        <v/>
      </c>
      <c r="E140" s="34" t="e">
        <f ca="1"/>
        <v>#NAME?</v>
      </c>
      <c r="F140" s="34" t="e">
        <f ca="1"/>
        <v>#NAME?</v>
      </c>
    </row>
    <row r="141" spans="1:6" ht="39.049999999999997" customHeight="1">
      <c r="A141" s="32" t="e">
        <f ca="1"/>
        <v>#NAME?</v>
      </c>
      <c r="B141" s="33" t="str">
        <f ca="1">IFERROR(__xludf.DUMMYFUNCTION("""COMPUTED_VALUE"""),"")</f>
        <v/>
      </c>
      <c r="C141" s="34" t="e">
        <f ca="1"/>
        <v>#NAME?</v>
      </c>
      <c r="D141" s="35" t="str">
        <f ca="1">IFERROR(__xludf.DUMMYFUNCTION("""COMPUTED_VALUE"""),"משרדיות")</f>
        <v>משרדיות</v>
      </c>
      <c r="E141" s="34" t="e">
        <f ca="1"/>
        <v>#NAME?</v>
      </c>
      <c r="F141" s="34" t="e">
        <f ca="1"/>
        <v>#NAME?</v>
      </c>
    </row>
    <row r="142" spans="1:6" ht="39.049999999999997" customHeight="1">
      <c r="A142" s="32" t="e">
        <f ca="1"/>
        <v>#NAME?</v>
      </c>
      <c r="B142" s="33" t="str">
        <f ca="1">IFERROR(__xludf.DUMMYFUNCTION("""COMPUTED_VALUE"""),"")</f>
        <v/>
      </c>
      <c r="C142" s="34" t="e">
        <f ca="1"/>
        <v>#NAME?</v>
      </c>
      <c r="D142" s="35" t="str">
        <f ca="1">IFERROR(__xludf.DUMMYFUNCTION("""COMPUTED_VALUE"""),"")</f>
        <v/>
      </c>
      <c r="E142" s="34" t="e">
        <f ca="1"/>
        <v>#NAME?</v>
      </c>
      <c r="F142" s="34" t="e">
        <f ca="1"/>
        <v>#NAME?</v>
      </c>
    </row>
    <row r="143" spans="1:6" ht="39.049999999999997" customHeight="1">
      <c r="A143" s="32" t="e">
        <f ca="1"/>
        <v>#NAME?</v>
      </c>
      <c r="B143" s="33" t="str">
        <f ca="1">IFERROR(__xludf.DUMMYFUNCTION("""COMPUTED_VALUE"""),"")</f>
        <v/>
      </c>
      <c r="C143" s="34" t="e">
        <f ca="1"/>
        <v>#NAME?</v>
      </c>
      <c r="D143" s="35" t="str">
        <f ca="1">IFERROR(__xludf.DUMMYFUNCTION("""COMPUTED_VALUE"""),"נלוות לשכר")</f>
        <v>נלוות לשכר</v>
      </c>
      <c r="E143" s="34" t="e">
        <f ca="1"/>
        <v>#NAME?</v>
      </c>
      <c r="F143" s="34" t="e">
        <f ca="1"/>
        <v>#NAME?</v>
      </c>
    </row>
    <row r="144" spans="1:6" ht="39.049999999999997" customHeight="1">
      <c r="A144" s="32" t="e">
        <f ca="1"/>
        <v>#NAME?</v>
      </c>
      <c r="B144" s="33" t="str">
        <f ca="1">IFERROR(__xludf.DUMMYFUNCTION("""COMPUTED_VALUE"""),"")</f>
        <v/>
      </c>
      <c r="C144" s="34" t="e">
        <f ca="1"/>
        <v>#NAME?</v>
      </c>
      <c r="D144" s="35" t="str">
        <f ca="1">IFERROR(__xludf.DUMMYFUNCTION("""COMPUTED_VALUE"""),"")</f>
        <v/>
      </c>
      <c r="E144" s="34" t="e">
        <f ca="1"/>
        <v>#NAME?</v>
      </c>
      <c r="F144" s="34" t="e">
        <f ca="1"/>
        <v>#NAME?</v>
      </c>
    </row>
    <row r="145" spans="1:6" ht="39.049999999999997" customHeight="1">
      <c r="A145" s="32" t="e">
        <f ca="1"/>
        <v>#NAME?</v>
      </c>
      <c r="B145" s="33" t="str">
        <f ca="1">IFERROR(__xludf.DUMMYFUNCTION("""COMPUTED_VALUE"""),"")</f>
        <v/>
      </c>
      <c r="C145" s="34" t="e">
        <f ca="1"/>
        <v>#NAME?</v>
      </c>
      <c r="D145" s="35" t="str">
        <f ca="1">IFERROR(__xludf.DUMMYFUNCTION("""COMPUTED_VALUE"""),"")</f>
        <v/>
      </c>
      <c r="E145" s="34" t="e">
        <f ca="1"/>
        <v>#NAME?</v>
      </c>
      <c r="F145" s="34" t="e">
        <f ca="1"/>
        <v>#NAME?</v>
      </c>
    </row>
    <row r="146" spans="1:6" ht="39.049999999999997" customHeight="1">
      <c r="A146" s="32" t="e">
        <f ca="1"/>
        <v>#NAME?</v>
      </c>
      <c r="B146" s="33" t="str">
        <f ca="1">IFERROR(__xludf.DUMMYFUNCTION("""COMPUTED_VALUE"""),"")</f>
        <v/>
      </c>
      <c r="C146" s="34" t="e">
        <f ca="1"/>
        <v>#NAME?</v>
      </c>
      <c r="D146" s="35" t="str">
        <f ca="1">IFERROR(__xludf.DUMMYFUNCTION("""COMPUTED_VALUE"""),"")</f>
        <v/>
      </c>
      <c r="E146" s="34" t="e">
        <f ca="1"/>
        <v>#NAME?</v>
      </c>
      <c r="F146" s="34" t="e">
        <f ca="1"/>
        <v>#NAME?</v>
      </c>
    </row>
    <row r="147" spans="1:6" ht="39.049999999999997" customHeight="1">
      <c r="A147" s="32" t="e">
        <f ca="1"/>
        <v>#NAME?</v>
      </c>
      <c r="B147" s="33" t="str">
        <f ca="1">IFERROR(__xludf.DUMMYFUNCTION("""COMPUTED_VALUE"""),"")</f>
        <v/>
      </c>
      <c r="C147" s="34" t="e">
        <f ca="1"/>
        <v>#NAME?</v>
      </c>
      <c r="D147" s="35" t="str">
        <f ca="1">IFERROR(__xludf.DUMMYFUNCTION("""COMPUTED_VALUE"""),"")</f>
        <v/>
      </c>
      <c r="E147" s="34" t="e">
        <f ca="1"/>
        <v>#NAME?</v>
      </c>
      <c r="F147" s="34" t="e">
        <f ca="1"/>
        <v>#NAME?</v>
      </c>
    </row>
    <row r="148" spans="1:6" ht="39.049999999999997" customHeight="1">
      <c r="A148" s="32" t="e">
        <f ca="1"/>
        <v>#NAME?</v>
      </c>
      <c r="B148" s="33" t="str">
        <f ca="1">IFERROR(__xludf.DUMMYFUNCTION("""COMPUTED_VALUE"""),"")</f>
        <v/>
      </c>
      <c r="C148" s="34" t="e">
        <f ca="1"/>
        <v>#NAME?</v>
      </c>
      <c r="D148" s="35" t="str">
        <f ca="1">IFERROR(__xludf.DUMMYFUNCTION("""COMPUTED_VALUE"""),"")</f>
        <v/>
      </c>
      <c r="E148" s="34" t="e">
        <f ca="1"/>
        <v>#NAME?</v>
      </c>
      <c r="F148" s="34" t="e">
        <f ca="1"/>
        <v>#NAME?</v>
      </c>
    </row>
    <row r="149" spans="1:6" ht="39.049999999999997" customHeight="1">
      <c r="A149" s="32" t="e">
        <f ca="1"/>
        <v>#NAME?</v>
      </c>
      <c r="B149" s="33" t="str">
        <f ca="1">IFERROR(__xludf.DUMMYFUNCTION("""COMPUTED_VALUE"""),"")</f>
        <v/>
      </c>
      <c r="C149" s="34" t="e">
        <f ca="1"/>
        <v>#NAME?</v>
      </c>
      <c r="D149" s="35" t="str">
        <f ca="1">IFERROR(__xludf.DUMMYFUNCTION("""COMPUTED_VALUE"""),"")</f>
        <v/>
      </c>
      <c r="E149" s="34" t="e">
        <f ca="1"/>
        <v>#NAME?</v>
      </c>
      <c r="F149" s="34" t="e">
        <f ca="1"/>
        <v>#NAME?</v>
      </c>
    </row>
    <row r="150" spans="1:6" ht="39.049999999999997" customHeight="1">
      <c r="A150" s="32" t="e">
        <f ca="1"/>
        <v>#NAME?</v>
      </c>
      <c r="B150" s="33" t="str">
        <f ca="1">IFERROR(__xludf.DUMMYFUNCTION("""COMPUTED_VALUE"""),"")</f>
        <v/>
      </c>
      <c r="C150" s="34" t="e">
        <f ca="1"/>
        <v>#NAME?</v>
      </c>
      <c r="D150" s="35" t="str">
        <f ca="1">IFERROR(__xludf.DUMMYFUNCTION("""COMPUTED_VALUE"""),"")</f>
        <v/>
      </c>
      <c r="E150" s="34" t="e">
        <f ca="1"/>
        <v>#NAME?</v>
      </c>
      <c r="F150" s="34" t="e">
        <f ca="1"/>
        <v>#NAME?</v>
      </c>
    </row>
    <row r="151" spans="1:6" ht="39.049999999999997" customHeight="1">
      <c r="A151" s="32" t="e">
        <f ca="1"/>
        <v>#NAME?</v>
      </c>
      <c r="B151" s="33" t="str">
        <f ca="1">IFERROR(__xludf.DUMMYFUNCTION("""COMPUTED_VALUE"""),"")</f>
        <v/>
      </c>
      <c r="C151" s="34" t="e">
        <f ca="1"/>
        <v>#NAME?</v>
      </c>
      <c r="D151" s="35" t="str">
        <f ca="1">IFERROR(__xludf.DUMMYFUNCTION("""COMPUTED_VALUE"""),"")</f>
        <v/>
      </c>
      <c r="E151" s="34" t="e">
        <f ca="1"/>
        <v>#NAME?</v>
      </c>
      <c r="F151" s="34" t="e">
        <f ca="1"/>
        <v>#NAME?</v>
      </c>
    </row>
    <row r="152" spans="1:6" ht="39.049999999999997" customHeight="1">
      <c r="A152" s="32" t="e">
        <f ca="1"/>
        <v>#NAME?</v>
      </c>
      <c r="B152" s="33" t="str">
        <f ca="1">IFERROR(__xludf.DUMMYFUNCTION("""COMPUTED_VALUE"""),"")</f>
        <v/>
      </c>
      <c r="C152" s="34" t="e">
        <f ca="1"/>
        <v>#NAME?</v>
      </c>
      <c r="D152" s="35" t="str">
        <f ca="1">IFERROR(__xludf.DUMMYFUNCTION("""COMPUTED_VALUE"""),"")</f>
        <v/>
      </c>
      <c r="E152" s="34" t="e">
        <f ca="1"/>
        <v>#NAME?</v>
      </c>
      <c r="F152" s="34" t="e">
        <f ca="1"/>
        <v>#NAME?</v>
      </c>
    </row>
    <row r="153" spans="1:6" ht="39.049999999999997" customHeight="1">
      <c r="A153" s="32" t="e">
        <f ca="1"/>
        <v>#NAME?</v>
      </c>
      <c r="B153" s="33" t="str">
        <f ca="1">IFERROR(__xludf.DUMMYFUNCTION("""COMPUTED_VALUE"""),"")</f>
        <v/>
      </c>
      <c r="C153" s="34" t="e">
        <f ca="1"/>
        <v>#NAME?</v>
      </c>
      <c r="D153" s="35" t="str">
        <f ca="1">IFERROR(__xludf.DUMMYFUNCTION("""COMPUTED_VALUE"""),"תקשורת, פעילויות, נותני שירות")</f>
        <v>תקשורת, פעילויות, נותני שירות</v>
      </c>
      <c r="E153" s="34" t="e">
        <f ca="1"/>
        <v>#NAME?</v>
      </c>
      <c r="F153" s="34" t="e">
        <f ca="1"/>
        <v>#NAME?</v>
      </c>
    </row>
    <row r="154" spans="1:6" ht="39.049999999999997" customHeight="1">
      <c r="A154" s="32" t="e">
        <f ca="1"/>
        <v>#NAME?</v>
      </c>
      <c r="B154" s="33" t="str">
        <f ca="1">IFERROR(__xludf.DUMMYFUNCTION("""COMPUTED_VALUE"""),"")</f>
        <v/>
      </c>
      <c r="C154" s="34" t="e">
        <f ca="1"/>
        <v>#NAME?</v>
      </c>
      <c r="D154" s="35" t="str">
        <f ca="1">IFERROR(__xludf.DUMMYFUNCTION("""COMPUTED_VALUE"""),"")</f>
        <v/>
      </c>
      <c r="E154" s="34" t="e">
        <f ca="1"/>
        <v>#NAME?</v>
      </c>
      <c r="F154" s="34" t="e">
        <f ca="1"/>
        <v>#NAME?</v>
      </c>
    </row>
    <row r="155" spans="1:6" ht="39.049999999999997" customHeight="1">
      <c r="A155" s="32" t="e">
        <f ca="1"/>
        <v>#NAME?</v>
      </c>
      <c r="B155" s="33" t="str">
        <f ca="1">IFERROR(__xludf.DUMMYFUNCTION("""COMPUTED_VALUE"""),"")</f>
        <v/>
      </c>
      <c r="C155" s="34" t="e">
        <f ca="1"/>
        <v>#NAME?</v>
      </c>
      <c r="D155" s="35" t="str">
        <f ca="1">IFERROR(__xludf.DUMMYFUNCTION("""COMPUTED_VALUE"""),"שכר")</f>
        <v>שכר</v>
      </c>
      <c r="E155" s="34" t="e">
        <f ca="1"/>
        <v>#NAME?</v>
      </c>
      <c r="F155" s="34" t="e">
        <f ca="1"/>
        <v>#NAME?</v>
      </c>
    </row>
    <row r="156" spans="1:6" ht="39.049999999999997" customHeight="1">
      <c r="A156" s="32" t="e">
        <f ca="1"/>
        <v>#NAME?</v>
      </c>
      <c r="B156" s="33" t="str">
        <f ca="1">IFERROR(__xludf.DUMMYFUNCTION("""COMPUTED_VALUE"""),"")</f>
        <v/>
      </c>
      <c r="C156" s="34" t="e">
        <f ca="1"/>
        <v>#NAME?</v>
      </c>
      <c r="D156" s="35" t="str">
        <f ca="1">IFERROR(__xludf.DUMMYFUNCTION("""COMPUTED_VALUE"""),"תקשורת, אגרות ובנקים")</f>
        <v>תקשורת, אגרות ובנקים</v>
      </c>
      <c r="E156" s="34" t="e">
        <f ca="1"/>
        <v>#NAME?</v>
      </c>
      <c r="F156" s="34" t="e">
        <f ca="1"/>
        <v>#NAME?</v>
      </c>
    </row>
    <row r="157" spans="1:6" ht="39.049999999999997" customHeight="1">
      <c r="A157" s="32" t="e">
        <f ca="1"/>
        <v>#NAME?</v>
      </c>
      <c r="B157" s="33" t="str">
        <f ca="1">IFERROR(__xludf.DUMMYFUNCTION("""COMPUTED_VALUE"""),"")</f>
        <v/>
      </c>
      <c r="C157" s="34" t="e">
        <f ca="1"/>
        <v>#NAME?</v>
      </c>
      <c r="D157" s="35" t="str">
        <f ca="1">IFERROR(__xludf.DUMMYFUNCTION("""COMPUTED_VALUE"""),"")</f>
        <v/>
      </c>
      <c r="E157" s="34" t="e">
        <f ca="1"/>
        <v>#NAME?</v>
      </c>
      <c r="F157" s="34" t="e">
        <f ca="1"/>
        <v>#NAME?</v>
      </c>
    </row>
    <row r="158" spans="1:6" ht="39.049999999999997" customHeight="1">
      <c r="A158" s="32" t="e">
        <f ca="1"/>
        <v>#NAME?</v>
      </c>
      <c r="B158" s="33" t="str">
        <f ca="1">IFERROR(__xludf.DUMMYFUNCTION("""COMPUTED_VALUE"""),"")</f>
        <v/>
      </c>
      <c r="C158" s="34" t="e">
        <f ca="1"/>
        <v>#NAME?</v>
      </c>
      <c r="D158" s="35" t="str">
        <f ca="1">IFERROR(__xludf.DUMMYFUNCTION("""COMPUTED_VALUE"""),"")</f>
        <v/>
      </c>
      <c r="E158" s="34" t="e">
        <f ca="1"/>
        <v>#NAME?</v>
      </c>
      <c r="F158" s="34" t="e">
        <f ca="1"/>
        <v>#NAME?</v>
      </c>
    </row>
    <row r="159" spans="1:6" ht="39.049999999999997" customHeight="1">
      <c r="A159" s="32" t="e">
        <f ca="1"/>
        <v>#NAME?</v>
      </c>
      <c r="B159" s="33" t="str">
        <f ca="1">IFERROR(__xludf.DUMMYFUNCTION("""COMPUTED_VALUE"""),"")</f>
        <v/>
      </c>
      <c r="C159" s="34" t="e">
        <f ca="1"/>
        <v>#NAME?</v>
      </c>
      <c r="D159" s="35" t="str">
        <f ca="1">IFERROR(__xludf.DUMMYFUNCTION("""COMPUTED_VALUE"""),"")</f>
        <v/>
      </c>
      <c r="E159" s="34" t="e">
        <f ca="1"/>
        <v>#NAME?</v>
      </c>
      <c r="F159" s="34" t="e">
        <f ca="1"/>
        <v>#NAME?</v>
      </c>
    </row>
    <row r="160" spans="1:6" ht="39.049999999999997" customHeight="1">
      <c r="A160" s="32" t="e">
        <f ca="1"/>
        <v>#NAME?</v>
      </c>
      <c r="B160" s="33" t="str">
        <f ca="1">IFERROR(__xludf.DUMMYFUNCTION("""COMPUTED_VALUE"""),"")</f>
        <v/>
      </c>
      <c r="C160" s="34" t="e">
        <f ca="1"/>
        <v>#NAME?</v>
      </c>
      <c r="D160" s="35" t="str">
        <f ca="1">IFERROR(__xludf.DUMMYFUNCTION("""COMPUTED_VALUE"""),"")</f>
        <v/>
      </c>
      <c r="E160" s="34" t="e">
        <f ca="1"/>
        <v>#NAME?</v>
      </c>
      <c r="F160" s="34" t="e">
        <f ca="1"/>
        <v>#NAME?</v>
      </c>
    </row>
    <row r="161" spans="1:6" ht="39.049999999999997" customHeight="1">
      <c r="A161" s="32" t="e">
        <f ca="1"/>
        <v>#NAME?</v>
      </c>
      <c r="B161" s="33" t="str">
        <f ca="1">IFERROR(__xludf.DUMMYFUNCTION("""COMPUTED_VALUE"""),"")</f>
        <v/>
      </c>
      <c r="C161" s="34" t="e">
        <f ca="1"/>
        <v>#NAME?</v>
      </c>
      <c r="D161" s="35" t="str">
        <f ca="1">IFERROR(__xludf.DUMMYFUNCTION("""COMPUTED_VALUE"""),"")</f>
        <v/>
      </c>
      <c r="E161" s="34" t="e">
        <f ca="1"/>
        <v>#NAME?</v>
      </c>
      <c r="F161" s="34" t="e">
        <f ca="1"/>
        <v>#NAME?</v>
      </c>
    </row>
    <row r="162" spans="1:6" ht="39.049999999999997" customHeight="1">
      <c r="A162" s="32" t="e">
        <f ca="1"/>
        <v>#NAME?</v>
      </c>
      <c r="B162" s="33" t="str">
        <f ca="1">IFERROR(__xludf.DUMMYFUNCTION("""COMPUTED_VALUE"""),"")</f>
        <v/>
      </c>
      <c r="C162" s="34" t="e">
        <f ca="1"/>
        <v>#NAME?</v>
      </c>
      <c r="D162" s="35" t="str">
        <f ca="1">IFERROR(__xludf.DUMMYFUNCTION("""COMPUTED_VALUE"""),"")</f>
        <v/>
      </c>
      <c r="E162" s="34" t="e">
        <f ca="1"/>
        <v>#NAME?</v>
      </c>
      <c r="F162" s="34" t="e">
        <f ca="1"/>
        <v>#NAME?</v>
      </c>
    </row>
    <row r="163" spans="1:6" ht="39.049999999999997" customHeight="1">
      <c r="A163" s="32" t="e">
        <f ca="1"/>
        <v>#NAME?</v>
      </c>
      <c r="B163" s="33" t="str">
        <f ca="1">IFERROR(__xludf.DUMMYFUNCTION("""COMPUTED_VALUE"""),"")</f>
        <v/>
      </c>
      <c r="C163" s="34" t="e">
        <f ca="1"/>
        <v>#NAME?</v>
      </c>
      <c r="D163" s="35" t="str">
        <f ca="1">IFERROR(__xludf.DUMMYFUNCTION("""COMPUTED_VALUE"""),"")</f>
        <v/>
      </c>
      <c r="E163" s="34" t="e">
        <f ca="1"/>
        <v>#NAME?</v>
      </c>
      <c r="F163" s="34" t="e">
        <f ca="1"/>
        <v>#NAME?</v>
      </c>
    </row>
    <row r="164" spans="1:6" ht="39.049999999999997" customHeight="1">
      <c r="A164" s="32" t="e">
        <f ca="1"/>
        <v>#NAME?</v>
      </c>
      <c r="B164" s="33" t="str">
        <f ca="1">IFERROR(__xludf.DUMMYFUNCTION("""COMPUTED_VALUE"""),"")</f>
        <v/>
      </c>
      <c r="C164" s="34" t="e">
        <f ca="1"/>
        <v>#NAME?</v>
      </c>
      <c r="D164" s="35" t="str">
        <f ca="1">IFERROR(__xludf.DUMMYFUNCTION("""COMPUTED_VALUE"""),"משפטיות")</f>
        <v>משפטיות</v>
      </c>
      <c r="E164" s="34" t="e">
        <f ca="1"/>
        <v>#NAME?</v>
      </c>
      <c r="F164" s="34" t="e">
        <f ca="1"/>
        <v>#NAME?</v>
      </c>
    </row>
    <row r="165" spans="1:6" ht="39.049999999999997" customHeight="1">
      <c r="A165" s="32" t="e">
        <f ca="1"/>
        <v>#NAME?</v>
      </c>
      <c r="B165" s="33" t="str">
        <f ca="1">IFERROR(__xludf.DUMMYFUNCTION("""COMPUTED_VALUE"""),"")</f>
        <v/>
      </c>
      <c r="C165" s="34" t="e">
        <f ca="1"/>
        <v>#NAME?</v>
      </c>
      <c r="D165" s="35" t="str">
        <f ca="1">IFERROR(__xludf.DUMMYFUNCTION("""COMPUTED_VALUE"""),"")</f>
        <v/>
      </c>
      <c r="E165" s="34" t="e">
        <f ca="1"/>
        <v>#NAME?</v>
      </c>
      <c r="F165" s="34" t="e">
        <f ca="1"/>
        <v>#NAME?</v>
      </c>
    </row>
    <row r="166" spans="1:6" ht="39.049999999999997" customHeight="1">
      <c r="A166" s="32" t="e">
        <f ca="1"/>
        <v>#NAME?</v>
      </c>
      <c r="B166" s="33" t="str">
        <f ca="1">IFERROR(__xludf.DUMMYFUNCTION("""COMPUTED_VALUE"""),"")</f>
        <v/>
      </c>
      <c r="C166" s="34" t="e">
        <f ca="1"/>
        <v>#NAME?</v>
      </c>
      <c r="D166" s="35" t="str">
        <f ca="1">IFERROR(__xludf.DUMMYFUNCTION("""COMPUTED_VALUE"""),"נלוות לשכר")</f>
        <v>נלוות לשכר</v>
      </c>
      <c r="E166" s="34" t="e">
        <f ca="1"/>
        <v>#NAME?</v>
      </c>
      <c r="F166" s="34" t="e">
        <f ca="1"/>
        <v>#NAME?</v>
      </c>
    </row>
    <row r="167" spans="1:6" ht="39.049999999999997" customHeight="1">
      <c r="A167" s="32" t="e">
        <f ca="1"/>
        <v>#NAME?</v>
      </c>
      <c r="B167" s="33" t="str">
        <f ca="1">IFERROR(__xludf.DUMMYFUNCTION("""COMPUTED_VALUE"""),"")</f>
        <v/>
      </c>
      <c r="C167" s="34" t="e">
        <f ca="1"/>
        <v>#NAME?</v>
      </c>
      <c r="D167" s="35" t="str">
        <f ca="1">IFERROR(__xludf.DUMMYFUNCTION("""COMPUTED_VALUE"""),"")</f>
        <v/>
      </c>
      <c r="E167" s="34" t="e">
        <f ca="1"/>
        <v>#NAME?</v>
      </c>
      <c r="F167" s="34" t="e">
        <f ca="1"/>
        <v>#NAME?</v>
      </c>
    </row>
    <row r="168" spans="1:6" ht="39.049999999999997" customHeight="1">
      <c r="A168" s="32" t="e">
        <f ca="1"/>
        <v>#NAME?</v>
      </c>
      <c r="B168" s="33" t="str">
        <f ca="1">IFERROR(__xludf.DUMMYFUNCTION("""COMPUTED_VALUE"""),"")</f>
        <v/>
      </c>
      <c r="C168" s="34" t="e">
        <f ca="1"/>
        <v>#NAME?</v>
      </c>
      <c r="D168" s="35" t="str">
        <f ca="1">IFERROR(__xludf.DUMMYFUNCTION("""COMPUTED_VALUE"""),"")</f>
        <v/>
      </c>
      <c r="E168" s="34" t="e">
        <f ca="1"/>
        <v>#NAME?</v>
      </c>
      <c r="F168" s="34" t="e">
        <f ca="1"/>
        <v>#NAME?</v>
      </c>
    </row>
    <row r="169" spans="1:6" ht="39.049999999999997" customHeight="1">
      <c r="A169" s="32" t="e">
        <f ca="1"/>
        <v>#NAME?</v>
      </c>
      <c r="B169" s="33" t="str">
        <f ca="1">IFERROR(__xludf.DUMMYFUNCTION("""COMPUTED_VALUE"""),"")</f>
        <v/>
      </c>
      <c r="C169" s="34" t="e">
        <f ca="1"/>
        <v>#NAME?</v>
      </c>
      <c r="D169" s="35" t="str">
        <f ca="1">IFERROR(__xludf.DUMMYFUNCTION("""COMPUTED_VALUE"""),"עמלות (יעל אביב)")</f>
        <v>עמלות (יעל אביב)</v>
      </c>
      <c r="E169" s="34" t="e">
        <f ca="1"/>
        <v>#NAME?</v>
      </c>
      <c r="F169" s="34" t="e">
        <f ca="1"/>
        <v>#NAME?</v>
      </c>
    </row>
    <row r="170" spans="1:6" ht="39.049999999999997" customHeight="1">
      <c r="A170" s="32" t="e">
        <f ca="1"/>
        <v>#NAME?</v>
      </c>
      <c r="B170" s="33" t="str">
        <f ca="1">IFERROR(__xludf.DUMMYFUNCTION("""COMPUTED_VALUE"""),"")</f>
        <v/>
      </c>
      <c r="C170" s="34" t="e">
        <f ca="1"/>
        <v>#NAME?</v>
      </c>
      <c r="D170" s="35" t="str">
        <f ca="1">IFERROR(__xludf.DUMMYFUNCTION("""COMPUTED_VALUE"""),"")</f>
        <v/>
      </c>
      <c r="E170" s="34" t="e">
        <f ca="1"/>
        <v>#NAME?</v>
      </c>
      <c r="F170" s="34" t="e">
        <f ca="1"/>
        <v>#NAME?</v>
      </c>
    </row>
    <row r="171" spans="1:6" ht="39.049999999999997" customHeight="1">
      <c r="A171" s="32" t="e">
        <f ca="1"/>
        <v>#NAME?</v>
      </c>
      <c r="B171" s="33" t="str">
        <f ca="1">IFERROR(__xludf.DUMMYFUNCTION("""COMPUTED_VALUE"""),"")</f>
        <v/>
      </c>
      <c r="C171" s="34" t="e">
        <f ca="1"/>
        <v>#NAME?</v>
      </c>
      <c r="D171" s="35" t="str">
        <f ca="1">IFERROR(__xludf.DUMMYFUNCTION("""COMPUTED_VALUE"""),"")</f>
        <v/>
      </c>
      <c r="E171" s="34" t="e">
        <f ca="1"/>
        <v>#NAME?</v>
      </c>
      <c r="F171" s="34" t="e">
        <f ca="1"/>
        <v>#NAME?</v>
      </c>
    </row>
    <row r="172" spans="1:6" ht="39.049999999999997" customHeight="1">
      <c r="A172" s="32" t="e">
        <f ca="1"/>
        <v>#NAME?</v>
      </c>
      <c r="B172" s="33" t="str">
        <f ca="1">IFERROR(__xludf.DUMMYFUNCTION("""COMPUTED_VALUE"""),"")</f>
        <v/>
      </c>
      <c r="C172" s="34" t="e">
        <f ca="1"/>
        <v>#NAME?</v>
      </c>
      <c r="D172" s="35" t="str">
        <f ca="1">IFERROR(__xludf.DUMMYFUNCTION("""COMPUTED_VALUE"""),"שכר")</f>
        <v>שכר</v>
      </c>
      <c r="E172" s="34" t="e">
        <f ca="1"/>
        <v>#NAME?</v>
      </c>
      <c r="F172" s="34" t="e">
        <f ca="1"/>
        <v>#NAME?</v>
      </c>
    </row>
    <row r="173" spans="1:6" ht="39.049999999999997" customHeight="1">
      <c r="A173" s="32" t="e">
        <f ca="1"/>
        <v>#NAME?</v>
      </c>
      <c r="B173" s="33" t="str">
        <f ca="1">IFERROR(__xludf.DUMMYFUNCTION("""COMPUTED_VALUE"""),"")</f>
        <v/>
      </c>
      <c r="C173" s="34" t="e">
        <f ca="1"/>
        <v>#NAME?</v>
      </c>
      <c r="D173" s="35" t="str">
        <f ca="1">IFERROR(__xludf.DUMMYFUNCTION("""COMPUTED_VALUE"""),"")</f>
        <v/>
      </c>
      <c r="E173" s="34" t="e">
        <f ca="1"/>
        <v>#NAME?</v>
      </c>
      <c r="F173" s="34" t="e">
        <f ca="1"/>
        <v>#NAME?</v>
      </c>
    </row>
    <row r="174" spans="1:6" ht="39.049999999999997" customHeight="1">
      <c r="A174" s="32" t="e">
        <f ca="1"/>
        <v>#NAME?</v>
      </c>
      <c r="B174" s="33" t="str">
        <f ca="1">IFERROR(__xludf.DUMMYFUNCTION("""COMPUTED_VALUE"""),"")</f>
        <v/>
      </c>
      <c r="C174" s="34" t="e">
        <f ca="1"/>
        <v>#NAME?</v>
      </c>
      <c r="D174" s="35" t="str">
        <f ca="1">IFERROR(__xludf.DUMMYFUNCTION("""COMPUTED_VALUE"""),"נלוות לשכר")</f>
        <v>נלוות לשכר</v>
      </c>
      <c r="E174" s="34" t="e">
        <f ca="1"/>
        <v>#NAME?</v>
      </c>
      <c r="F174" s="34" t="e">
        <f ca="1"/>
        <v>#NAME?</v>
      </c>
    </row>
    <row r="175" spans="1:6" ht="39.049999999999997" customHeight="1">
      <c r="A175" s="32" t="e">
        <f ca="1"/>
        <v>#NAME?</v>
      </c>
      <c r="B175" s="33" t="str">
        <f ca="1">IFERROR(__xludf.DUMMYFUNCTION("""COMPUTED_VALUE"""),"")</f>
        <v/>
      </c>
      <c r="C175" s="34" t="e">
        <f ca="1"/>
        <v>#NAME?</v>
      </c>
      <c r="D175" s="35" t="str">
        <f ca="1">IFERROR(__xludf.DUMMYFUNCTION("""COMPUTED_VALUE"""),"")</f>
        <v/>
      </c>
      <c r="E175" s="34" t="e">
        <f ca="1"/>
        <v>#NAME?</v>
      </c>
      <c r="F175" s="34" t="e">
        <f ca="1"/>
        <v>#NAME?</v>
      </c>
    </row>
    <row r="176" spans="1:6" ht="39.049999999999997" customHeight="1">
      <c r="A176" s="32" t="e">
        <f ca="1"/>
        <v>#NAME?</v>
      </c>
      <c r="B176" s="33" t="str">
        <f ca="1">IFERROR(__xludf.DUMMYFUNCTION("""COMPUTED_VALUE"""),"")</f>
        <v/>
      </c>
      <c r="C176" s="34" t="e">
        <f ca="1"/>
        <v>#NAME?</v>
      </c>
      <c r="D176" s="35" t="str">
        <f ca="1">IFERROR(__xludf.DUMMYFUNCTION("""COMPUTED_VALUE"""),"")</f>
        <v/>
      </c>
      <c r="E176" s="34" t="e">
        <f ca="1"/>
        <v>#NAME?</v>
      </c>
      <c r="F176" s="34" t="e">
        <f ca="1"/>
        <v>#NAME?</v>
      </c>
    </row>
    <row r="177" spans="1:6" ht="39.049999999999997" customHeight="1">
      <c r="A177" s="32" t="e">
        <f ca="1"/>
        <v>#NAME?</v>
      </c>
      <c r="B177" s="33" t="str">
        <f ca="1">IFERROR(__xludf.DUMMYFUNCTION("""COMPUTED_VALUE"""),"")</f>
        <v/>
      </c>
      <c r="C177" s="34" t="e">
        <f ca="1"/>
        <v>#NAME?</v>
      </c>
      <c r="D177" s="35" t="str">
        <f ca="1">IFERROR(__xludf.DUMMYFUNCTION("""COMPUTED_VALUE"""),"")</f>
        <v/>
      </c>
      <c r="E177" s="34" t="e">
        <f ca="1"/>
        <v>#NAME?</v>
      </c>
      <c r="F177" s="34" t="e">
        <f ca="1"/>
        <v>#NAME?</v>
      </c>
    </row>
    <row r="178" spans="1:6" ht="39.049999999999997" customHeight="1">
      <c r="A178" s="32" t="e">
        <f ca="1"/>
        <v>#NAME?</v>
      </c>
      <c r="B178" s="33" t="str">
        <f ca="1">IFERROR(__xludf.DUMMYFUNCTION("""COMPUTED_VALUE"""),"")</f>
        <v/>
      </c>
      <c r="C178" s="34" t="e">
        <f ca="1"/>
        <v>#NAME?</v>
      </c>
      <c r="D178" s="35" t="str">
        <f ca="1">IFERROR(__xludf.DUMMYFUNCTION("""COMPUTED_VALUE"""),"")</f>
        <v/>
      </c>
      <c r="E178" s="34" t="e">
        <f ca="1"/>
        <v>#NAME?</v>
      </c>
      <c r="F178" s="34" t="e">
        <f ca="1"/>
        <v>#NAME?</v>
      </c>
    </row>
    <row r="179" spans="1:6" ht="39.049999999999997" customHeight="1">
      <c r="A179" s="32" t="e">
        <f ca="1"/>
        <v>#NAME?</v>
      </c>
      <c r="B179" s="33" t="str">
        <f ca="1">IFERROR(__xludf.DUMMYFUNCTION("""COMPUTED_VALUE"""),"")</f>
        <v/>
      </c>
      <c r="C179" s="34" t="e">
        <f ca="1"/>
        <v>#NAME?</v>
      </c>
      <c r="D179" s="35" t="str">
        <f ca="1">IFERROR(__xludf.DUMMYFUNCTION("""COMPUTED_VALUE"""),"")</f>
        <v/>
      </c>
      <c r="E179" s="34" t="e">
        <f ca="1"/>
        <v>#NAME?</v>
      </c>
      <c r="F179" s="34" t="e">
        <f ca="1"/>
        <v>#NAME?</v>
      </c>
    </row>
    <row r="180" spans="1:6" ht="39.049999999999997" customHeight="1">
      <c r="A180" s="32" t="e">
        <f ca="1"/>
        <v>#NAME?</v>
      </c>
      <c r="B180" s="33" t="str">
        <f ca="1">IFERROR(__xludf.DUMMYFUNCTION("""COMPUTED_VALUE"""),"")</f>
        <v/>
      </c>
      <c r="C180" s="34" t="e">
        <f ca="1"/>
        <v>#NAME?</v>
      </c>
      <c r="D180" s="35" t="str">
        <f ca="1">IFERROR(__xludf.DUMMYFUNCTION("""COMPUTED_VALUE"""),"")</f>
        <v/>
      </c>
      <c r="E180" s="34" t="e">
        <f ca="1"/>
        <v>#NAME?</v>
      </c>
      <c r="F180" s="34" t="e">
        <f ca="1"/>
        <v>#NAME?</v>
      </c>
    </row>
    <row r="181" spans="1:6" ht="39.049999999999997" customHeight="1">
      <c r="A181" s="32" t="e">
        <f ca="1"/>
        <v>#NAME?</v>
      </c>
      <c r="B181" s="33" t="str">
        <f ca="1">IFERROR(__xludf.DUMMYFUNCTION("""COMPUTED_VALUE"""),"")</f>
        <v/>
      </c>
      <c r="C181" s="34" t="e">
        <f ca="1"/>
        <v>#NAME?</v>
      </c>
      <c r="D181" s="35" t="str">
        <f ca="1">IFERROR(__xludf.DUMMYFUNCTION("""COMPUTED_VALUE"""),"")</f>
        <v/>
      </c>
      <c r="E181" s="34" t="e">
        <f ca="1"/>
        <v>#NAME?</v>
      </c>
      <c r="F181" s="34" t="e">
        <f ca="1"/>
        <v>#NAME?</v>
      </c>
    </row>
    <row r="182" spans="1:6" ht="39.049999999999997" customHeight="1">
      <c r="A182" s="32" t="e">
        <f ca="1"/>
        <v>#NAME?</v>
      </c>
      <c r="B182" s="33" t="str">
        <f ca="1">IFERROR(__xludf.DUMMYFUNCTION("""COMPUTED_VALUE"""),"")</f>
        <v/>
      </c>
      <c r="C182" s="34" t="e">
        <f ca="1"/>
        <v>#NAME?</v>
      </c>
      <c r="D182" s="35" t="str">
        <f ca="1">IFERROR(__xludf.DUMMYFUNCTION("""COMPUTED_VALUE"""),"")</f>
        <v/>
      </c>
      <c r="E182" s="34" t="e">
        <f ca="1"/>
        <v>#NAME?</v>
      </c>
      <c r="F182" s="34" t="e">
        <f ca="1"/>
        <v>#NAME?</v>
      </c>
    </row>
    <row r="183" spans="1:6" ht="39.049999999999997" customHeight="1">
      <c r="A183" s="32" t="e">
        <f ca="1"/>
        <v>#NAME?</v>
      </c>
      <c r="B183" s="33" t="str">
        <f ca="1">IFERROR(__xludf.DUMMYFUNCTION("""COMPUTED_VALUE"""),"")</f>
        <v/>
      </c>
      <c r="C183" s="34" t="e">
        <f ca="1"/>
        <v>#NAME?</v>
      </c>
      <c r="D183" s="35" t="str">
        <f ca="1">IFERROR(__xludf.DUMMYFUNCTION("""COMPUTED_VALUE"""),"")</f>
        <v/>
      </c>
      <c r="E183" s="34" t="e">
        <f ca="1"/>
        <v>#NAME?</v>
      </c>
      <c r="F183" s="34" t="e">
        <f ca="1"/>
        <v>#NAME?</v>
      </c>
    </row>
    <row r="184" spans="1:6" ht="39.049999999999997" customHeight="1">
      <c r="A184" s="32" t="e">
        <f ca="1"/>
        <v>#NAME?</v>
      </c>
      <c r="B184" s="33" t="str">
        <f ca="1">IFERROR(__xludf.DUMMYFUNCTION("""COMPUTED_VALUE"""),"")</f>
        <v/>
      </c>
      <c r="C184" s="34" t="e">
        <f ca="1"/>
        <v>#NAME?</v>
      </c>
      <c r="D184" s="35" t="str">
        <f ca="1">IFERROR(__xludf.DUMMYFUNCTION("""COMPUTED_VALUE"""),"תקשורת, נותני שירות")</f>
        <v>תקשורת, נותני שירות</v>
      </c>
      <c r="E184" s="34" t="e">
        <f ca="1"/>
        <v>#NAME?</v>
      </c>
      <c r="F184" s="34" t="e">
        <f ca="1"/>
        <v>#NAME?</v>
      </c>
    </row>
    <row r="185" spans="1:6" ht="39.049999999999997" customHeight="1">
      <c r="A185" s="32" t="e">
        <f ca="1"/>
        <v>#NAME?</v>
      </c>
      <c r="B185" s="33" t="str">
        <f ca="1">IFERROR(__xludf.DUMMYFUNCTION("""COMPUTED_VALUE"""),"")</f>
        <v/>
      </c>
      <c r="C185" s="34" t="e">
        <f ca="1"/>
        <v>#NAME?</v>
      </c>
      <c r="D185" s="35" t="str">
        <f ca="1">IFERROR(__xludf.DUMMYFUNCTION("""COMPUTED_VALUE"""),"")</f>
        <v/>
      </c>
      <c r="E185" s="34" t="e">
        <f ca="1"/>
        <v>#NAME?</v>
      </c>
      <c r="F185" s="34" t="e">
        <f ca="1"/>
        <v>#NAME?</v>
      </c>
    </row>
    <row r="186" spans="1:6" ht="39.049999999999997" customHeight="1">
      <c r="A186" s="29"/>
      <c r="B186" s="36"/>
      <c r="C186" s="37">
        <v>0</v>
      </c>
      <c r="D186" s="38"/>
      <c r="E186" s="37">
        <f ca="1"/>
        <v>0</v>
      </c>
      <c r="F186" s="37"/>
    </row>
    <row r="187" spans="1:6" ht="39.049999999999997" customHeight="1">
      <c r="A187" s="29"/>
      <c r="B187" s="36"/>
      <c r="C187" s="37">
        <v>0</v>
      </c>
      <c r="D187" s="38"/>
      <c r="E187" s="37">
        <f ca="1"/>
        <v>0</v>
      </c>
      <c r="F187" s="37"/>
    </row>
    <row r="188" spans="1:6" ht="39.049999999999997" customHeight="1">
      <c r="A188" s="29"/>
      <c r="B188" s="36"/>
      <c r="C188" s="37">
        <v>0</v>
      </c>
      <c r="D188" s="38"/>
      <c r="E188" s="37">
        <f ca="1"/>
        <v>0</v>
      </c>
      <c r="F188" s="37"/>
    </row>
    <row r="189" spans="1:6" ht="39.049999999999997" customHeight="1">
      <c r="A189" s="29"/>
      <c r="B189" s="36"/>
      <c r="C189" s="37">
        <v>0</v>
      </c>
      <c r="D189" s="38"/>
      <c r="E189" s="37">
        <f ca="1"/>
        <v>0</v>
      </c>
      <c r="F189" s="37"/>
    </row>
    <row r="190" spans="1:6" ht="39.049999999999997" customHeight="1">
      <c r="A190" s="29"/>
      <c r="B190" s="36"/>
      <c r="C190" s="37">
        <v>0</v>
      </c>
      <c r="D190" s="38"/>
      <c r="E190" s="37">
        <f ca="1"/>
        <v>0</v>
      </c>
      <c r="F190" s="37"/>
    </row>
    <row r="191" spans="1:6" ht="39.049999999999997" customHeight="1">
      <c r="A191" s="29"/>
      <c r="B191" s="36"/>
      <c r="C191" s="37">
        <v>0</v>
      </c>
      <c r="D191" s="38"/>
      <c r="E191" s="37">
        <f ca="1"/>
        <v>0</v>
      </c>
      <c r="F191" s="37"/>
    </row>
    <row r="192" spans="1:6" ht="39.049999999999997" customHeight="1">
      <c r="A192" s="29"/>
      <c r="B192" s="36"/>
      <c r="C192" s="37">
        <v>0</v>
      </c>
      <c r="D192" s="38"/>
      <c r="E192" s="37">
        <f ca="1"/>
        <v>0</v>
      </c>
      <c r="F192" s="37"/>
    </row>
    <row r="193" spans="1:6" ht="39.049999999999997" customHeight="1">
      <c r="A193" s="29"/>
      <c r="B193" s="36"/>
      <c r="C193" s="37">
        <v>0</v>
      </c>
      <c r="D193" s="38"/>
      <c r="E193" s="37">
        <f ca="1"/>
        <v>0</v>
      </c>
      <c r="F193" s="37"/>
    </row>
    <row r="194" spans="1:6" ht="39.049999999999997" customHeight="1">
      <c r="A194" s="29"/>
      <c r="B194" s="36"/>
      <c r="C194" s="37">
        <v>0</v>
      </c>
      <c r="D194" s="38"/>
      <c r="E194" s="37">
        <f ca="1"/>
        <v>0</v>
      </c>
      <c r="F194" s="37"/>
    </row>
    <row r="195" spans="1:6" ht="39.049999999999997" customHeight="1">
      <c r="A195" s="29"/>
      <c r="B195" s="36"/>
      <c r="C195" s="37">
        <v>0</v>
      </c>
      <c r="D195" s="38"/>
      <c r="E195" s="37">
        <f ca="1"/>
        <v>0</v>
      </c>
      <c r="F195" s="37"/>
    </row>
    <row r="196" spans="1:6" ht="39.049999999999997" customHeight="1">
      <c r="A196" s="29"/>
      <c r="B196" s="36"/>
      <c r="C196" s="37">
        <v>0</v>
      </c>
      <c r="D196" s="38"/>
      <c r="E196" s="37">
        <f ca="1"/>
        <v>0</v>
      </c>
      <c r="F196" s="37"/>
    </row>
    <row r="197" spans="1:6" ht="39.049999999999997" customHeight="1">
      <c r="A197" s="29"/>
      <c r="B197" s="36"/>
      <c r="C197" s="37">
        <v>0</v>
      </c>
      <c r="D197" s="38"/>
      <c r="E197" s="37">
        <f ca="1"/>
        <v>0</v>
      </c>
      <c r="F197" s="37"/>
    </row>
    <row r="198" spans="1:6" ht="39.049999999999997" customHeight="1">
      <c r="A198" s="29"/>
      <c r="B198" s="36"/>
      <c r="C198" s="37">
        <v>0</v>
      </c>
      <c r="D198" s="38"/>
      <c r="E198" s="37">
        <f ca="1"/>
        <v>0</v>
      </c>
      <c r="F198" s="37"/>
    </row>
    <row r="199" spans="1:6" ht="39.049999999999997" customHeight="1">
      <c r="A199" s="29"/>
      <c r="B199" s="36"/>
      <c r="C199" s="37">
        <v>0</v>
      </c>
      <c r="D199" s="38"/>
      <c r="E199" s="37">
        <f ca="1"/>
        <v>0</v>
      </c>
      <c r="F199" s="37"/>
    </row>
    <row r="200" spans="1:6" ht="39.049999999999997" customHeight="1">
      <c r="A200" s="29"/>
      <c r="B200" s="36"/>
      <c r="C200" s="37">
        <v>0</v>
      </c>
      <c r="D200" s="38"/>
      <c r="E200" s="37">
        <f ca="1"/>
        <v>0</v>
      </c>
      <c r="F200" s="37"/>
    </row>
    <row r="201" spans="1:6" ht="39.049999999999997" customHeight="1">
      <c r="A201" s="29"/>
      <c r="B201" s="36"/>
      <c r="C201" s="37">
        <v>0</v>
      </c>
      <c r="D201" s="38"/>
      <c r="E201" s="37">
        <f ca="1"/>
        <v>0</v>
      </c>
      <c r="F201" s="37"/>
    </row>
    <row r="202" spans="1:6" ht="39.049999999999997" customHeight="1">
      <c r="A202" s="29"/>
      <c r="B202" s="36"/>
      <c r="C202" s="37">
        <v>0</v>
      </c>
      <c r="D202" s="38"/>
      <c r="E202" s="37">
        <f ca="1"/>
        <v>0</v>
      </c>
      <c r="F202" s="37"/>
    </row>
    <row r="203" spans="1:6" ht="39.049999999999997" customHeight="1">
      <c r="A203" s="29"/>
      <c r="B203" s="36"/>
      <c r="C203" s="37">
        <v>0</v>
      </c>
      <c r="D203" s="38"/>
      <c r="E203" s="37">
        <f ca="1"/>
        <v>0</v>
      </c>
      <c r="F203" s="37"/>
    </row>
    <row r="204" spans="1:6" ht="39.049999999999997" customHeight="1">
      <c r="A204" s="29"/>
      <c r="B204" s="36"/>
      <c r="C204" s="37">
        <v>0</v>
      </c>
      <c r="D204" s="38"/>
      <c r="E204" s="37">
        <f ca="1"/>
        <v>0</v>
      </c>
      <c r="F204" s="37"/>
    </row>
    <row r="205" spans="1:6" ht="39.049999999999997" customHeight="1">
      <c r="A205" s="29"/>
      <c r="B205" s="36"/>
      <c r="C205" s="37">
        <v>0</v>
      </c>
      <c r="D205" s="38"/>
      <c r="E205" s="37">
        <f ca="1"/>
        <v>0</v>
      </c>
      <c r="F205" s="37"/>
    </row>
    <row r="206" spans="1:6" ht="39.049999999999997" customHeight="1">
      <c r="A206" s="29"/>
      <c r="B206" s="36"/>
      <c r="C206" s="37">
        <v>0</v>
      </c>
      <c r="D206" s="38"/>
      <c r="E206" s="37">
        <f ca="1"/>
        <v>0</v>
      </c>
      <c r="F206" s="37"/>
    </row>
    <row r="207" spans="1:6" ht="39.049999999999997" customHeight="1">
      <c r="A207" s="29"/>
      <c r="B207" s="36"/>
      <c r="C207" s="37">
        <v>0</v>
      </c>
      <c r="D207" s="38"/>
      <c r="E207" s="37">
        <f ca="1"/>
        <v>0</v>
      </c>
      <c r="F207" s="37"/>
    </row>
    <row r="208" spans="1:6" ht="39.049999999999997" customHeight="1">
      <c r="A208" s="29"/>
      <c r="B208" s="36"/>
      <c r="C208" s="37">
        <v>0</v>
      </c>
      <c r="D208" s="38"/>
      <c r="E208" s="37">
        <f ca="1"/>
        <v>0</v>
      </c>
      <c r="F208" s="37"/>
    </row>
    <row r="209" spans="1:6" ht="39.049999999999997" customHeight="1">
      <c r="A209" s="29"/>
      <c r="B209" s="36"/>
      <c r="C209" s="37">
        <v>0</v>
      </c>
      <c r="D209" s="38"/>
      <c r="E209" s="37">
        <f ca="1"/>
        <v>0</v>
      </c>
      <c r="F209" s="37"/>
    </row>
    <row r="210" spans="1:6" ht="39.049999999999997" customHeight="1">
      <c r="A210" s="29"/>
      <c r="B210" s="36"/>
      <c r="C210" s="37">
        <v>0</v>
      </c>
      <c r="D210" s="38"/>
      <c r="E210" s="37">
        <f ca="1"/>
        <v>0</v>
      </c>
      <c r="F210" s="37"/>
    </row>
    <row r="211" spans="1:6" ht="39.049999999999997" customHeight="1">
      <c r="A211" s="29"/>
      <c r="B211" s="36"/>
      <c r="C211" s="37">
        <v>0</v>
      </c>
      <c r="D211" s="38"/>
      <c r="E211" s="37">
        <f ca="1"/>
        <v>0</v>
      </c>
      <c r="F211" s="37"/>
    </row>
    <row r="212" spans="1:6" ht="39.049999999999997" customHeight="1">
      <c r="A212" s="29"/>
      <c r="B212" s="36"/>
      <c r="C212" s="37">
        <v>0</v>
      </c>
      <c r="D212" s="38"/>
      <c r="E212" s="37">
        <f ca="1"/>
        <v>0</v>
      </c>
      <c r="F212" s="37"/>
    </row>
    <row r="213" spans="1:6" ht="39.049999999999997" customHeight="1">
      <c r="A213" s="29"/>
      <c r="B213" s="36"/>
      <c r="C213" s="37">
        <v>0</v>
      </c>
      <c r="D213" s="38"/>
      <c r="E213" s="37">
        <f ca="1"/>
        <v>0</v>
      </c>
      <c r="F213" s="37"/>
    </row>
    <row r="214" spans="1:6" ht="39.049999999999997" customHeight="1">
      <c r="A214" s="29"/>
      <c r="B214" s="36"/>
      <c r="C214" s="37">
        <v>0</v>
      </c>
      <c r="D214" s="38"/>
      <c r="E214" s="37">
        <f ca="1"/>
        <v>0</v>
      </c>
      <c r="F214" s="37"/>
    </row>
    <row r="215" spans="1:6" ht="39.049999999999997" customHeight="1">
      <c r="A215" s="29"/>
      <c r="B215" s="36"/>
      <c r="C215" s="37">
        <v>0</v>
      </c>
      <c r="D215" s="38"/>
      <c r="E215" s="37">
        <f ca="1"/>
        <v>0</v>
      </c>
      <c r="F215" s="37"/>
    </row>
    <row r="216" spans="1:6" ht="39.049999999999997" customHeight="1">
      <c r="A216" s="29"/>
      <c r="B216" s="36"/>
      <c r="C216" s="37">
        <v>0</v>
      </c>
      <c r="D216" s="38"/>
      <c r="E216" s="37">
        <f ca="1"/>
        <v>0</v>
      </c>
      <c r="F216" s="37"/>
    </row>
    <row r="217" spans="1:6" ht="39.049999999999997" customHeight="1">
      <c r="A217" s="29"/>
      <c r="B217" s="36"/>
      <c r="C217" s="37">
        <v>0</v>
      </c>
      <c r="D217" s="38"/>
      <c r="E217" s="37">
        <f ca="1"/>
        <v>0</v>
      </c>
      <c r="F217" s="37"/>
    </row>
    <row r="218" spans="1:6" ht="39.049999999999997" customHeight="1">
      <c r="A218" s="29"/>
      <c r="B218" s="36"/>
      <c r="C218" s="37">
        <v>0</v>
      </c>
      <c r="D218" s="38"/>
      <c r="E218" s="37">
        <f ca="1"/>
        <v>0</v>
      </c>
      <c r="F218" s="37"/>
    </row>
    <row r="219" spans="1:6" ht="39.049999999999997" customHeight="1">
      <c r="A219" s="29"/>
      <c r="B219" s="36"/>
      <c r="C219" s="37">
        <v>0</v>
      </c>
      <c r="D219" s="38"/>
      <c r="E219" s="37">
        <f ca="1"/>
        <v>0</v>
      </c>
      <c r="F219" s="37"/>
    </row>
    <row r="220" spans="1:6" ht="39.049999999999997" customHeight="1">
      <c r="A220" s="29"/>
      <c r="B220" s="36"/>
      <c r="C220" s="37">
        <v>0</v>
      </c>
      <c r="D220" s="38"/>
      <c r="E220" s="37">
        <f ca="1"/>
        <v>0</v>
      </c>
      <c r="F220" s="37"/>
    </row>
    <row r="221" spans="1:6" ht="39.049999999999997" customHeight="1">
      <c r="A221" s="29"/>
      <c r="B221" s="36"/>
      <c r="C221" s="37">
        <v>0</v>
      </c>
      <c r="D221" s="38"/>
      <c r="E221" s="37">
        <f ca="1"/>
        <v>0</v>
      </c>
      <c r="F221" s="37"/>
    </row>
    <row r="222" spans="1:6" ht="39.049999999999997" customHeight="1">
      <c r="A222" s="29"/>
      <c r="B222" s="36"/>
      <c r="C222" s="37">
        <v>0</v>
      </c>
      <c r="D222" s="38"/>
      <c r="E222" s="37">
        <f ca="1"/>
        <v>0</v>
      </c>
      <c r="F222" s="37"/>
    </row>
    <row r="223" spans="1:6" ht="39.049999999999997" customHeight="1">
      <c r="A223" s="29"/>
      <c r="B223" s="36"/>
      <c r="C223" s="37">
        <v>0</v>
      </c>
      <c r="D223" s="38"/>
      <c r="E223" s="37">
        <f ca="1"/>
        <v>0</v>
      </c>
      <c r="F223" s="37"/>
    </row>
    <row r="224" spans="1:6" ht="39.049999999999997" customHeight="1">
      <c r="A224" s="29"/>
      <c r="B224" s="36"/>
      <c r="C224" s="37">
        <v>0</v>
      </c>
      <c r="D224" s="38"/>
      <c r="E224" s="37">
        <f ca="1"/>
        <v>0</v>
      </c>
      <c r="F224" s="37"/>
    </row>
    <row r="225" spans="1:6" ht="39.049999999999997" customHeight="1">
      <c r="A225" s="29"/>
      <c r="B225" s="36"/>
      <c r="C225" s="37">
        <v>0</v>
      </c>
      <c r="D225" s="38"/>
      <c r="E225" s="37">
        <f ca="1"/>
        <v>0</v>
      </c>
      <c r="F225" s="37"/>
    </row>
    <row r="226" spans="1:6" ht="39.049999999999997" customHeight="1">
      <c r="A226" s="29"/>
      <c r="B226" s="36"/>
      <c r="C226" s="37">
        <v>0</v>
      </c>
      <c r="D226" s="38"/>
      <c r="E226" s="37">
        <f ca="1"/>
        <v>0</v>
      </c>
      <c r="F226" s="37"/>
    </row>
    <row r="227" spans="1:6" ht="39.049999999999997" customHeight="1">
      <c r="A227" s="29"/>
      <c r="B227" s="36"/>
      <c r="C227" s="37">
        <v>0</v>
      </c>
      <c r="D227" s="38"/>
      <c r="E227" s="37">
        <f ca="1"/>
        <v>0</v>
      </c>
      <c r="F227" s="37"/>
    </row>
    <row r="228" spans="1:6" ht="39.049999999999997" customHeight="1">
      <c r="A228" s="29"/>
      <c r="B228" s="36"/>
      <c r="C228" s="37">
        <v>0</v>
      </c>
      <c r="D228" s="38"/>
      <c r="E228" s="37">
        <f ca="1"/>
        <v>0</v>
      </c>
      <c r="F228" s="37"/>
    </row>
    <row r="229" spans="1:6" ht="39.049999999999997" customHeight="1">
      <c r="A229" s="29"/>
      <c r="B229" s="36"/>
      <c r="C229" s="37">
        <v>0</v>
      </c>
      <c r="D229" s="38"/>
      <c r="E229" s="37">
        <f ca="1"/>
        <v>0</v>
      </c>
      <c r="F229" s="37"/>
    </row>
    <row r="230" spans="1:6" ht="39.049999999999997" customHeight="1">
      <c r="A230" s="29"/>
      <c r="B230" s="36"/>
      <c r="C230" s="37">
        <v>0</v>
      </c>
      <c r="D230" s="38"/>
      <c r="E230" s="37">
        <f ca="1"/>
        <v>0</v>
      </c>
      <c r="F230" s="37"/>
    </row>
    <row r="231" spans="1:6" ht="39.049999999999997" customHeight="1">
      <c r="A231" s="29"/>
      <c r="B231" s="36"/>
      <c r="C231" s="37">
        <v>0</v>
      </c>
      <c r="D231" s="38"/>
      <c r="E231" s="37">
        <f ca="1"/>
        <v>0</v>
      </c>
      <c r="F231" s="37"/>
    </row>
    <row r="232" spans="1:6" ht="39.049999999999997" customHeight="1">
      <c r="A232" s="29"/>
      <c r="B232" s="36"/>
      <c r="C232" s="37">
        <v>0</v>
      </c>
      <c r="D232" s="38"/>
      <c r="E232" s="37">
        <f ca="1"/>
        <v>0</v>
      </c>
      <c r="F232" s="37"/>
    </row>
    <row r="233" spans="1:6" ht="39.049999999999997" customHeight="1">
      <c r="A233" s="29"/>
      <c r="B233" s="36"/>
      <c r="C233" s="37">
        <v>0</v>
      </c>
      <c r="D233" s="38"/>
      <c r="E233" s="37">
        <f ca="1"/>
        <v>0</v>
      </c>
      <c r="F233" s="37"/>
    </row>
    <row r="234" spans="1:6" ht="39.049999999999997" customHeight="1">
      <c r="A234" s="29"/>
      <c r="B234" s="36"/>
      <c r="C234" s="37">
        <v>0</v>
      </c>
      <c r="D234" s="38"/>
      <c r="E234" s="37">
        <f ca="1"/>
        <v>0</v>
      </c>
      <c r="F234" s="37"/>
    </row>
    <row r="235" spans="1:6" ht="39.049999999999997" customHeight="1">
      <c r="A235" s="29"/>
      <c r="B235" s="36"/>
      <c r="C235" s="37">
        <v>0</v>
      </c>
      <c r="D235" s="38"/>
      <c r="E235" s="37">
        <f ca="1"/>
        <v>0</v>
      </c>
      <c r="F235" s="37"/>
    </row>
    <row r="236" spans="1:6" ht="39.049999999999997" customHeight="1">
      <c r="A236" s="29"/>
      <c r="B236" s="36"/>
      <c r="C236" s="37">
        <v>0</v>
      </c>
      <c r="D236" s="38"/>
      <c r="E236" s="37">
        <f ca="1"/>
        <v>0</v>
      </c>
      <c r="F236" s="37"/>
    </row>
    <row r="237" spans="1:6" ht="39.049999999999997" customHeight="1">
      <c r="A237" s="29"/>
      <c r="B237" s="36"/>
      <c r="C237" s="37">
        <v>0</v>
      </c>
      <c r="D237" s="38"/>
      <c r="E237" s="37">
        <f ca="1"/>
        <v>0</v>
      </c>
      <c r="F237" s="37"/>
    </row>
    <row r="238" spans="1:6" ht="39.049999999999997" customHeight="1">
      <c r="A238" s="29"/>
      <c r="B238" s="36"/>
      <c r="C238" s="37">
        <v>0</v>
      </c>
      <c r="D238" s="38"/>
      <c r="E238" s="37">
        <f ca="1"/>
        <v>0</v>
      </c>
      <c r="F238" s="37"/>
    </row>
    <row r="239" spans="1:6" ht="39.049999999999997" customHeight="1">
      <c r="A239" s="29"/>
      <c r="B239" s="36"/>
      <c r="C239" s="37">
        <v>0</v>
      </c>
      <c r="D239" s="38"/>
      <c r="E239" s="37">
        <f ca="1"/>
        <v>0</v>
      </c>
      <c r="F239" s="37"/>
    </row>
    <row r="240" spans="1:6" ht="39.049999999999997" customHeight="1">
      <c r="A240" s="29"/>
      <c r="B240" s="36"/>
      <c r="C240" s="37">
        <v>0</v>
      </c>
      <c r="D240" s="38"/>
      <c r="E240" s="37">
        <f ca="1"/>
        <v>0</v>
      </c>
      <c r="F240" s="37"/>
    </row>
    <row r="241" spans="1:6" ht="39.049999999999997" customHeight="1">
      <c r="A241" s="29"/>
      <c r="B241" s="36"/>
      <c r="C241" s="37">
        <v>0</v>
      </c>
      <c r="D241" s="38"/>
      <c r="E241" s="37">
        <f ca="1"/>
        <v>0</v>
      </c>
      <c r="F241" s="37"/>
    </row>
    <row r="242" spans="1:6" ht="39.049999999999997" customHeight="1">
      <c r="A242" s="29"/>
      <c r="B242" s="36"/>
      <c r="C242" s="37">
        <v>0</v>
      </c>
      <c r="D242" s="38"/>
      <c r="E242" s="37">
        <f ca="1"/>
        <v>0</v>
      </c>
      <c r="F242" s="37"/>
    </row>
    <row r="243" spans="1:6" ht="39.049999999999997" customHeight="1">
      <c r="A243" s="29"/>
      <c r="B243" s="36"/>
      <c r="C243" s="37">
        <v>0</v>
      </c>
      <c r="D243" s="38"/>
      <c r="E243" s="37">
        <f ca="1"/>
        <v>0</v>
      </c>
      <c r="F243" s="37"/>
    </row>
    <row r="244" spans="1:6" ht="39.049999999999997" customHeight="1">
      <c r="A244" s="29"/>
      <c r="B244" s="36"/>
      <c r="C244" s="37">
        <v>0</v>
      </c>
      <c r="D244" s="38"/>
      <c r="E244" s="37">
        <f ca="1"/>
        <v>0</v>
      </c>
      <c r="F244" s="37"/>
    </row>
    <row r="245" spans="1:6" ht="39.049999999999997" customHeight="1">
      <c r="A245" s="29"/>
      <c r="B245" s="36"/>
      <c r="C245" s="37">
        <v>0</v>
      </c>
      <c r="D245" s="38"/>
      <c r="E245" s="37">
        <f ca="1"/>
        <v>0</v>
      </c>
      <c r="F245" s="37"/>
    </row>
    <row r="246" spans="1:6" ht="39.049999999999997" customHeight="1">
      <c r="A246" s="29"/>
      <c r="B246" s="36"/>
      <c r="C246" s="37">
        <v>0</v>
      </c>
      <c r="D246" s="38"/>
      <c r="E246" s="37">
        <f ca="1"/>
        <v>0</v>
      </c>
      <c r="F246" s="37"/>
    </row>
    <row r="247" spans="1:6" ht="39.049999999999997" customHeight="1">
      <c r="A247" s="29"/>
      <c r="B247" s="36"/>
      <c r="C247" s="37">
        <v>0</v>
      </c>
      <c r="D247" s="38"/>
      <c r="E247" s="37">
        <f ca="1"/>
        <v>0</v>
      </c>
      <c r="F247" s="37"/>
    </row>
    <row r="248" spans="1:6" ht="39.049999999999997" customHeight="1">
      <c r="A248" s="29"/>
      <c r="B248" s="36"/>
      <c r="C248" s="37">
        <v>0</v>
      </c>
      <c r="D248" s="38"/>
      <c r="E248" s="37">
        <f ca="1"/>
        <v>0</v>
      </c>
      <c r="F248" s="37"/>
    </row>
    <row r="249" spans="1:6" ht="39.049999999999997" customHeight="1">
      <c r="A249" s="29"/>
      <c r="B249" s="36"/>
      <c r="C249" s="37">
        <v>0</v>
      </c>
      <c r="D249" s="38"/>
      <c r="E249" s="37">
        <f ca="1"/>
        <v>0</v>
      </c>
      <c r="F249" s="37"/>
    </row>
    <row r="250" spans="1:6" ht="39.049999999999997" customHeight="1">
      <c r="A250" s="29"/>
      <c r="B250" s="36"/>
      <c r="C250" s="37">
        <v>0</v>
      </c>
      <c r="D250" s="38"/>
      <c r="E250" s="37">
        <f ca="1"/>
        <v>0</v>
      </c>
      <c r="F250" s="37"/>
    </row>
    <row r="251" spans="1:6" ht="39.049999999999997" customHeight="1">
      <c r="A251" s="29"/>
      <c r="B251" s="36"/>
      <c r="C251" s="37">
        <v>0</v>
      </c>
      <c r="D251" s="38"/>
      <c r="E251" s="37">
        <f ca="1"/>
        <v>0</v>
      </c>
      <c r="F251" s="37"/>
    </row>
    <row r="252" spans="1:6" ht="39.049999999999997" customHeight="1">
      <c r="A252" s="29"/>
      <c r="B252" s="36"/>
      <c r="C252" s="37">
        <v>0</v>
      </c>
      <c r="D252" s="38"/>
      <c r="E252" s="37">
        <f ca="1"/>
        <v>0</v>
      </c>
      <c r="F252" s="37"/>
    </row>
    <row r="253" spans="1:6" ht="39.049999999999997" customHeight="1">
      <c r="A253" s="29"/>
      <c r="B253" s="36"/>
      <c r="C253" s="37">
        <v>0</v>
      </c>
      <c r="D253" s="38"/>
      <c r="E253" s="37">
        <f ca="1"/>
        <v>0</v>
      </c>
      <c r="F253" s="37"/>
    </row>
    <row r="254" spans="1:6" ht="39.049999999999997" customHeight="1">
      <c r="A254" s="29"/>
      <c r="B254" s="36"/>
      <c r="C254" s="37">
        <v>0</v>
      </c>
      <c r="D254" s="38"/>
      <c r="E254" s="37">
        <f ca="1"/>
        <v>0</v>
      </c>
      <c r="F254" s="37"/>
    </row>
    <row r="255" spans="1:6" ht="39.049999999999997" customHeight="1">
      <c r="A255" s="29"/>
      <c r="B255" s="36"/>
      <c r="C255" s="37">
        <v>0</v>
      </c>
      <c r="D255" s="38"/>
      <c r="E255" s="37">
        <f ca="1"/>
        <v>0</v>
      </c>
      <c r="F255" s="37"/>
    </row>
    <row r="256" spans="1:6" ht="39.049999999999997" customHeight="1">
      <c r="A256" s="29"/>
      <c r="B256" s="36"/>
      <c r="C256" s="37">
        <v>0</v>
      </c>
      <c r="D256" s="38"/>
      <c r="E256" s="37">
        <f ca="1"/>
        <v>0</v>
      </c>
      <c r="F256" s="37"/>
    </row>
    <row r="257" spans="1:6" ht="39.049999999999997" customHeight="1">
      <c r="A257" s="29"/>
      <c r="B257" s="36"/>
      <c r="C257" s="37">
        <v>0</v>
      </c>
      <c r="D257" s="38"/>
      <c r="E257" s="37">
        <f ca="1"/>
        <v>0</v>
      </c>
      <c r="F257" s="37"/>
    </row>
    <row r="258" spans="1:6" ht="39.049999999999997" customHeight="1">
      <c r="A258" s="29"/>
      <c r="B258" s="36"/>
      <c r="C258" s="37">
        <v>0</v>
      </c>
      <c r="D258" s="38"/>
      <c r="E258" s="37">
        <f ca="1"/>
        <v>0</v>
      </c>
      <c r="F258" s="37"/>
    </row>
    <row r="259" spans="1:6" ht="39.049999999999997" customHeight="1">
      <c r="A259" s="29"/>
      <c r="B259" s="36"/>
      <c r="C259" s="37">
        <v>0</v>
      </c>
      <c r="D259" s="38"/>
      <c r="E259" s="37">
        <f ca="1"/>
        <v>0</v>
      </c>
      <c r="F259" s="37"/>
    </row>
    <row r="260" spans="1:6" ht="39.049999999999997" customHeight="1">
      <c r="A260" s="29"/>
      <c r="B260" s="36"/>
      <c r="C260" s="37">
        <v>0</v>
      </c>
      <c r="D260" s="38"/>
      <c r="E260" s="37">
        <f ca="1"/>
        <v>0</v>
      </c>
      <c r="F260" s="37"/>
    </row>
    <row r="261" spans="1:6" ht="39.049999999999997" customHeight="1">
      <c r="A261" s="29"/>
      <c r="B261" s="36"/>
      <c r="C261" s="37">
        <v>0</v>
      </c>
      <c r="D261" s="38"/>
      <c r="E261" s="37">
        <f ca="1"/>
        <v>0</v>
      </c>
      <c r="F261" s="37"/>
    </row>
    <row r="262" spans="1:6" ht="39.049999999999997" customHeight="1">
      <c r="A262" s="29"/>
      <c r="B262" s="36"/>
      <c r="C262" s="37">
        <v>0</v>
      </c>
      <c r="D262" s="38"/>
      <c r="E262" s="37">
        <f ca="1"/>
        <v>0</v>
      </c>
      <c r="F262" s="37"/>
    </row>
    <row r="263" spans="1:6" ht="39.049999999999997" customHeight="1">
      <c r="A263" s="29"/>
      <c r="B263" s="36"/>
      <c r="C263" s="37">
        <v>0</v>
      </c>
      <c r="D263" s="38"/>
      <c r="E263" s="37">
        <f ca="1"/>
        <v>0</v>
      </c>
      <c r="F263" s="37"/>
    </row>
    <row r="264" spans="1:6" ht="39.049999999999997" customHeight="1">
      <c r="A264" s="29"/>
      <c r="B264" s="36"/>
      <c r="C264" s="37">
        <v>0</v>
      </c>
      <c r="D264" s="38"/>
      <c r="E264" s="37">
        <f ca="1"/>
        <v>0</v>
      </c>
      <c r="F264" s="37"/>
    </row>
    <row r="265" spans="1:6" ht="39.049999999999997" customHeight="1">
      <c r="A265" s="29"/>
      <c r="B265" s="36"/>
      <c r="C265" s="37">
        <v>0</v>
      </c>
      <c r="D265" s="38"/>
      <c r="E265" s="37">
        <f ca="1"/>
        <v>0</v>
      </c>
      <c r="F265" s="37"/>
    </row>
    <row r="266" spans="1:6" ht="39.049999999999997" customHeight="1">
      <c r="A266" s="29"/>
      <c r="B266" s="36"/>
      <c r="C266" s="37">
        <v>0</v>
      </c>
      <c r="D266" s="38"/>
      <c r="E266" s="37">
        <f ca="1"/>
        <v>0</v>
      </c>
      <c r="F266" s="37"/>
    </row>
    <row r="267" spans="1:6" ht="39.049999999999997" customHeight="1">
      <c r="A267" s="29"/>
      <c r="B267" s="36"/>
      <c r="C267" s="37">
        <v>0</v>
      </c>
      <c r="D267" s="38"/>
      <c r="E267" s="37">
        <f ca="1"/>
        <v>0</v>
      </c>
      <c r="F267" s="37"/>
    </row>
    <row r="268" spans="1:6" ht="39.049999999999997" customHeight="1">
      <c r="A268" s="29"/>
      <c r="B268" s="36"/>
      <c r="C268" s="37">
        <v>0</v>
      </c>
      <c r="D268" s="38"/>
      <c r="E268" s="37">
        <f ca="1"/>
        <v>0</v>
      </c>
      <c r="F268" s="37"/>
    </row>
    <row r="269" spans="1:6" ht="39.049999999999997" customHeight="1">
      <c r="A269" s="29"/>
      <c r="B269" s="36"/>
      <c r="C269" s="37">
        <v>0</v>
      </c>
      <c r="D269" s="38"/>
      <c r="E269" s="37">
        <f ca="1"/>
        <v>0</v>
      </c>
      <c r="F269" s="37"/>
    </row>
    <row r="270" spans="1:6" ht="39.049999999999997" customHeight="1">
      <c r="A270" s="29"/>
      <c r="B270" s="36"/>
      <c r="C270" s="37">
        <v>0</v>
      </c>
      <c r="D270" s="38"/>
      <c r="E270" s="37">
        <f ca="1"/>
        <v>0</v>
      </c>
      <c r="F270" s="37"/>
    </row>
    <row r="271" spans="1:6" ht="39.049999999999997" customHeight="1">
      <c r="A271" s="29"/>
      <c r="B271" s="36"/>
      <c r="C271" s="37">
        <v>0</v>
      </c>
      <c r="D271" s="38"/>
      <c r="E271" s="37">
        <f ca="1"/>
        <v>0</v>
      </c>
      <c r="F271" s="37"/>
    </row>
    <row r="272" spans="1:6" ht="39.049999999999997" customHeight="1">
      <c r="A272" s="29"/>
      <c r="B272" s="36"/>
      <c r="C272" s="37">
        <v>0</v>
      </c>
      <c r="D272" s="38"/>
      <c r="E272" s="37">
        <f ca="1"/>
        <v>0</v>
      </c>
      <c r="F272" s="37"/>
    </row>
    <row r="273" spans="1:6" ht="39.049999999999997" customHeight="1">
      <c r="A273" s="29"/>
      <c r="B273" s="36"/>
      <c r="C273" s="37">
        <v>0</v>
      </c>
      <c r="D273" s="38"/>
      <c r="E273" s="37">
        <f ca="1"/>
        <v>0</v>
      </c>
      <c r="F273" s="37"/>
    </row>
    <row r="274" spans="1:6" ht="39.049999999999997" customHeight="1">
      <c r="A274" s="29"/>
      <c r="B274" s="36"/>
      <c r="C274" s="37">
        <v>0</v>
      </c>
      <c r="D274" s="38"/>
      <c r="E274" s="37">
        <f ca="1"/>
        <v>0</v>
      </c>
      <c r="F274" s="37"/>
    </row>
    <row r="275" spans="1:6" ht="39.049999999999997" customHeight="1">
      <c r="A275" s="29"/>
      <c r="B275" s="36"/>
      <c r="C275" s="37">
        <v>0</v>
      </c>
      <c r="D275" s="38"/>
      <c r="E275" s="37">
        <f ca="1"/>
        <v>0</v>
      </c>
      <c r="F275" s="37"/>
    </row>
    <row r="276" spans="1:6" ht="39.049999999999997" customHeight="1">
      <c r="A276" s="29"/>
      <c r="B276" s="36"/>
      <c r="C276" s="37">
        <v>0</v>
      </c>
      <c r="D276" s="38"/>
      <c r="E276" s="37">
        <f ca="1"/>
        <v>0</v>
      </c>
      <c r="F276" s="37"/>
    </row>
    <row r="277" spans="1:6" ht="39.049999999999997" customHeight="1">
      <c r="A277" s="29"/>
      <c r="B277" s="36"/>
      <c r="C277" s="37">
        <v>0</v>
      </c>
      <c r="D277" s="38"/>
      <c r="E277" s="37">
        <f ca="1"/>
        <v>0</v>
      </c>
      <c r="F277" s="37"/>
    </row>
    <row r="278" spans="1:6" ht="39.049999999999997" customHeight="1">
      <c r="A278" s="29"/>
      <c r="B278" s="36"/>
      <c r="C278" s="37">
        <v>0</v>
      </c>
      <c r="D278" s="38"/>
      <c r="E278" s="37">
        <f ca="1"/>
        <v>0</v>
      </c>
      <c r="F278" s="37"/>
    </row>
    <row r="279" spans="1:6" ht="39.049999999999997" customHeight="1">
      <c r="A279" s="29"/>
      <c r="B279" s="36"/>
      <c r="C279" s="37">
        <v>0</v>
      </c>
      <c r="D279" s="38"/>
      <c r="E279" s="37">
        <f ca="1"/>
        <v>0</v>
      </c>
      <c r="F279" s="37"/>
    </row>
    <row r="280" spans="1:6" ht="39.049999999999997" customHeight="1">
      <c r="A280" s="29"/>
      <c r="B280" s="36"/>
      <c r="C280" s="37">
        <v>0</v>
      </c>
      <c r="D280" s="38"/>
      <c r="E280" s="37">
        <f ca="1"/>
        <v>0</v>
      </c>
      <c r="F280" s="37"/>
    </row>
    <row r="281" spans="1:6" ht="39.049999999999997" customHeight="1">
      <c r="A281" s="29"/>
      <c r="B281" s="36"/>
      <c r="C281" s="37">
        <v>0</v>
      </c>
      <c r="D281" s="38"/>
      <c r="E281" s="37">
        <f ca="1"/>
        <v>0</v>
      </c>
      <c r="F281" s="37"/>
    </row>
    <row r="282" spans="1:6" ht="39.049999999999997" customHeight="1">
      <c r="A282" s="29"/>
      <c r="B282" s="36"/>
      <c r="C282" s="37">
        <v>0</v>
      </c>
      <c r="D282" s="38"/>
      <c r="E282" s="37">
        <f ca="1"/>
        <v>0</v>
      </c>
      <c r="F282" s="37"/>
    </row>
    <row r="283" spans="1:6" ht="39.049999999999997" customHeight="1">
      <c r="A283" s="29"/>
      <c r="B283" s="36"/>
      <c r="C283" s="37">
        <v>0</v>
      </c>
      <c r="D283" s="38"/>
      <c r="E283" s="37">
        <f ca="1"/>
        <v>0</v>
      </c>
      <c r="F283" s="37"/>
    </row>
    <row r="284" spans="1:6" ht="39.049999999999997" customHeight="1">
      <c r="A284" s="29"/>
      <c r="B284" s="36"/>
      <c r="C284" s="37">
        <v>0</v>
      </c>
      <c r="D284" s="38"/>
      <c r="E284" s="37">
        <f ca="1"/>
        <v>0</v>
      </c>
      <c r="F284" s="37"/>
    </row>
    <row r="285" spans="1:6" ht="39.049999999999997" customHeight="1">
      <c r="A285" s="29"/>
      <c r="B285" s="36"/>
      <c r="C285" s="37">
        <v>0</v>
      </c>
      <c r="D285" s="38"/>
      <c r="E285" s="37">
        <f ca="1"/>
        <v>0</v>
      </c>
      <c r="F285" s="37"/>
    </row>
    <row r="286" spans="1:6" ht="39.049999999999997" customHeight="1">
      <c r="A286" s="29"/>
      <c r="B286" s="36"/>
      <c r="C286" s="37">
        <v>0</v>
      </c>
      <c r="D286" s="38"/>
      <c r="E286" s="37">
        <f ca="1"/>
        <v>0</v>
      </c>
      <c r="F286" s="37"/>
    </row>
    <row r="287" spans="1:6" ht="39.049999999999997" customHeight="1">
      <c r="A287" s="29"/>
      <c r="B287" s="36"/>
      <c r="C287" s="37">
        <v>0</v>
      </c>
      <c r="D287" s="38"/>
      <c r="E287" s="37">
        <f ca="1"/>
        <v>0</v>
      </c>
      <c r="F287" s="37"/>
    </row>
    <row r="288" spans="1:6" ht="39.049999999999997" customHeight="1">
      <c r="A288" s="29"/>
      <c r="B288" s="36"/>
      <c r="C288" s="37">
        <v>0</v>
      </c>
      <c r="D288" s="38"/>
      <c r="E288" s="37">
        <f ca="1"/>
        <v>0</v>
      </c>
      <c r="F288" s="37"/>
    </row>
    <row r="289" spans="1:6" ht="39.049999999999997" customHeight="1">
      <c r="A289" s="29"/>
      <c r="B289" s="36"/>
      <c r="C289" s="37">
        <v>0</v>
      </c>
      <c r="D289" s="38"/>
      <c r="E289" s="37">
        <f ca="1"/>
        <v>0</v>
      </c>
      <c r="F289" s="37"/>
    </row>
    <row r="290" spans="1:6" ht="39.049999999999997" customHeight="1">
      <c r="A290" s="29"/>
      <c r="B290" s="36"/>
      <c r="C290" s="37">
        <v>0</v>
      </c>
      <c r="D290" s="38"/>
      <c r="E290" s="37">
        <f ca="1"/>
        <v>0</v>
      </c>
      <c r="F290" s="37"/>
    </row>
    <row r="291" spans="1:6" ht="39.049999999999997" customHeight="1">
      <c r="A291" s="29"/>
      <c r="B291" s="36"/>
      <c r="C291" s="37">
        <v>0</v>
      </c>
      <c r="D291" s="38"/>
      <c r="E291" s="37">
        <f ca="1"/>
        <v>0</v>
      </c>
      <c r="F291" s="37"/>
    </row>
    <row r="292" spans="1:6" ht="39.049999999999997" customHeight="1">
      <c r="A292" s="29"/>
      <c r="B292" s="36"/>
      <c r="C292" s="37">
        <v>0</v>
      </c>
      <c r="D292" s="38"/>
      <c r="E292" s="37">
        <f ca="1"/>
        <v>0</v>
      </c>
      <c r="F292" s="37"/>
    </row>
    <row r="293" spans="1:6" ht="39.049999999999997" customHeight="1">
      <c r="A293" s="29"/>
      <c r="B293" s="36"/>
      <c r="C293" s="37">
        <v>0</v>
      </c>
      <c r="D293" s="38"/>
      <c r="E293" s="37">
        <f ca="1"/>
        <v>0</v>
      </c>
      <c r="F293" s="37"/>
    </row>
    <row r="294" spans="1:6" ht="39.049999999999997" customHeight="1">
      <c r="A294" s="29"/>
      <c r="B294" s="36"/>
      <c r="C294" s="37">
        <v>0</v>
      </c>
      <c r="D294" s="38"/>
      <c r="E294" s="37">
        <f ca="1"/>
        <v>0</v>
      </c>
      <c r="F294" s="37"/>
    </row>
    <row r="295" spans="1:6" ht="39.049999999999997" customHeight="1">
      <c r="A295" s="29"/>
      <c r="B295" s="36"/>
      <c r="C295" s="37">
        <v>0</v>
      </c>
      <c r="D295" s="38"/>
      <c r="E295" s="37">
        <f ca="1"/>
        <v>0</v>
      </c>
      <c r="F295" s="37"/>
    </row>
    <row r="296" spans="1:6" ht="39.049999999999997" customHeight="1">
      <c r="A296" s="29"/>
      <c r="B296" s="36"/>
      <c r="C296" s="37">
        <v>0</v>
      </c>
      <c r="D296" s="38"/>
      <c r="E296" s="37">
        <f ca="1"/>
        <v>0</v>
      </c>
      <c r="F296" s="37"/>
    </row>
    <row r="297" spans="1:6" ht="39.049999999999997" customHeight="1">
      <c r="A297" s="29"/>
      <c r="B297" s="36"/>
      <c r="C297" s="37">
        <v>0</v>
      </c>
      <c r="D297" s="38"/>
      <c r="E297" s="37">
        <f ca="1"/>
        <v>0</v>
      </c>
      <c r="F297" s="37"/>
    </row>
    <row r="298" spans="1:6" ht="39.049999999999997" customHeight="1">
      <c r="A298" s="29"/>
      <c r="B298" s="36"/>
      <c r="C298" s="37">
        <v>0</v>
      </c>
      <c r="D298" s="38"/>
      <c r="E298" s="37">
        <f ca="1"/>
        <v>0</v>
      </c>
      <c r="F298" s="37"/>
    </row>
    <row r="299" spans="1:6" ht="39.049999999999997" customHeight="1">
      <c r="A299" s="29"/>
      <c r="B299" s="36"/>
      <c r="C299" s="37">
        <v>0</v>
      </c>
      <c r="D299" s="38"/>
      <c r="E299" s="37">
        <f ca="1"/>
        <v>0</v>
      </c>
      <c r="F299" s="37"/>
    </row>
    <row r="300" spans="1:6" ht="39.049999999999997" customHeight="1">
      <c r="A300" s="29"/>
      <c r="B300" s="36"/>
      <c r="C300" s="37">
        <v>0</v>
      </c>
      <c r="D300" s="38"/>
      <c r="E300" s="37">
        <f ca="1"/>
        <v>0</v>
      </c>
      <c r="F300" s="37"/>
    </row>
    <row r="301" spans="1:6" ht="39.049999999999997" customHeight="1">
      <c r="A301" s="29"/>
      <c r="B301" s="36"/>
      <c r="C301" s="37">
        <v>0</v>
      </c>
      <c r="D301" s="38"/>
      <c r="E301" s="37">
        <f ca="1"/>
        <v>0</v>
      </c>
      <c r="F301" s="37"/>
    </row>
    <row r="302" spans="1:6" ht="39.049999999999997" customHeight="1">
      <c r="A302" s="29"/>
      <c r="B302" s="36"/>
      <c r="C302" s="37">
        <v>0</v>
      </c>
      <c r="D302" s="38"/>
      <c r="E302" s="37">
        <f ca="1"/>
        <v>0</v>
      </c>
      <c r="F302" s="37"/>
    </row>
    <row r="303" spans="1:6" ht="39.049999999999997" customHeight="1">
      <c r="A303" s="29"/>
      <c r="B303" s="36"/>
      <c r="C303" s="37">
        <v>0</v>
      </c>
      <c r="D303" s="38"/>
      <c r="E303" s="37">
        <f ca="1"/>
        <v>0</v>
      </c>
      <c r="F303" s="37"/>
    </row>
    <row r="304" spans="1:6" ht="39.049999999999997" customHeight="1">
      <c r="A304" s="29"/>
      <c r="B304" s="36"/>
      <c r="C304" s="37">
        <v>0</v>
      </c>
      <c r="D304" s="38"/>
      <c r="E304" s="37">
        <f ca="1"/>
        <v>0</v>
      </c>
      <c r="F304" s="37"/>
    </row>
    <row r="305" spans="1:6" ht="39.049999999999997" customHeight="1">
      <c r="A305" s="29"/>
      <c r="B305" s="36"/>
      <c r="C305" s="37">
        <v>0</v>
      </c>
      <c r="D305" s="38"/>
      <c r="E305" s="37">
        <f ca="1"/>
        <v>0</v>
      </c>
      <c r="F305" s="37"/>
    </row>
    <row r="306" spans="1:6" ht="39.049999999999997" customHeight="1">
      <c r="A306" s="29"/>
      <c r="B306" s="36"/>
      <c r="C306" s="37">
        <v>0</v>
      </c>
      <c r="D306" s="38"/>
      <c r="E306" s="37">
        <f ca="1"/>
        <v>0</v>
      </c>
      <c r="F306" s="37"/>
    </row>
    <row r="307" spans="1:6" ht="39.049999999999997" customHeight="1">
      <c r="A307" s="29"/>
      <c r="B307" s="36"/>
      <c r="C307" s="37">
        <v>0</v>
      </c>
      <c r="D307" s="38"/>
      <c r="E307" s="37">
        <f ca="1"/>
        <v>0</v>
      </c>
      <c r="F307" s="37"/>
    </row>
    <row r="308" spans="1:6" ht="39.049999999999997" customHeight="1">
      <c r="A308" s="29"/>
      <c r="B308" s="36"/>
      <c r="C308" s="37">
        <v>0</v>
      </c>
      <c r="D308" s="38"/>
      <c r="E308" s="37">
        <f ca="1"/>
        <v>0</v>
      </c>
      <c r="F308" s="37"/>
    </row>
    <row r="309" spans="1:6" ht="39.049999999999997" customHeight="1">
      <c r="A309" s="29"/>
      <c r="B309" s="36"/>
      <c r="C309" s="37">
        <v>0</v>
      </c>
      <c r="D309" s="38"/>
      <c r="E309" s="37">
        <f ca="1"/>
        <v>0</v>
      </c>
      <c r="F309" s="37"/>
    </row>
    <row r="310" spans="1:6" ht="39.049999999999997" customHeight="1">
      <c r="A310" s="29"/>
      <c r="B310" s="36"/>
      <c r="C310" s="37">
        <v>0</v>
      </c>
      <c r="D310" s="38"/>
      <c r="E310" s="37">
        <f ca="1"/>
        <v>0</v>
      </c>
      <c r="F310" s="37"/>
    </row>
    <row r="311" spans="1:6" ht="39.049999999999997" customHeight="1">
      <c r="A311" s="29"/>
      <c r="B311" s="36"/>
      <c r="C311" s="37">
        <v>0</v>
      </c>
      <c r="D311" s="38"/>
      <c r="E311" s="37">
        <f ca="1"/>
        <v>0</v>
      </c>
      <c r="F311" s="37"/>
    </row>
    <row r="312" spans="1:6" ht="39.049999999999997" customHeight="1">
      <c r="A312" s="29"/>
      <c r="B312" s="36"/>
      <c r="C312" s="37">
        <v>0</v>
      </c>
      <c r="D312" s="38"/>
      <c r="E312" s="37">
        <f ca="1"/>
        <v>0</v>
      </c>
      <c r="F312" s="37"/>
    </row>
    <row r="313" spans="1:6" ht="39.049999999999997" customHeight="1">
      <c r="A313" s="29"/>
      <c r="B313" s="36"/>
      <c r="C313" s="37">
        <v>0</v>
      </c>
      <c r="D313" s="38"/>
      <c r="E313" s="37">
        <f ca="1"/>
        <v>0</v>
      </c>
      <c r="F313" s="37"/>
    </row>
    <row r="314" spans="1:6" ht="39.049999999999997" customHeight="1">
      <c r="A314" s="29"/>
      <c r="B314" s="36"/>
      <c r="C314" s="37">
        <v>0</v>
      </c>
      <c r="D314" s="38"/>
      <c r="E314" s="37">
        <f ca="1"/>
        <v>0</v>
      </c>
      <c r="F314" s="37"/>
    </row>
    <row r="315" spans="1:6" ht="39.049999999999997" customHeight="1">
      <c r="A315" s="29"/>
      <c r="B315" s="36"/>
      <c r="C315" s="37">
        <v>0</v>
      </c>
      <c r="D315" s="38"/>
      <c r="E315" s="37">
        <f ca="1"/>
        <v>0</v>
      </c>
      <c r="F315" s="37"/>
    </row>
    <row r="316" spans="1:6" ht="39.049999999999997" customHeight="1">
      <c r="A316" s="29"/>
      <c r="B316" s="36"/>
      <c r="C316" s="37">
        <v>0</v>
      </c>
      <c r="D316" s="38"/>
      <c r="E316" s="37">
        <f ca="1"/>
        <v>0</v>
      </c>
      <c r="F316" s="37"/>
    </row>
    <row r="317" spans="1:6" ht="39.049999999999997" customHeight="1">
      <c r="A317" s="29"/>
      <c r="B317" s="36"/>
      <c r="C317" s="37">
        <v>0</v>
      </c>
      <c r="D317" s="38"/>
      <c r="E317" s="37">
        <f ca="1"/>
        <v>0</v>
      </c>
      <c r="F317" s="37"/>
    </row>
    <row r="318" spans="1:6" ht="39.049999999999997" customHeight="1">
      <c r="A318" s="29"/>
      <c r="B318" s="36"/>
      <c r="C318" s="37">
        <v>0</v>
      </c>
      <c r="D318" s="38"/>
      <c r="E318" s="37">
        <f ca="1"/>
        <v>0</v>
      </c>
      <c r="F318" s="37"/>
    </row>
    <row r="319" spans="1:6" ht="39.049999999999997" customHeight="1">
      <c r="A319" s="29"/>
      <c r="B319" s="36"/>
      <c r="C319" s="37">
        <v>0</v>
      </c>
      <c r="D319" s="38"/>
      <c r="E319" s="37">
        <f ca="1"/>
        <v>0</v>
      </c>
      <c r="F319" s="37"/>
    </row>
    <row r="320" spans="1:6" ht="39.049999999999997" customHeight="1">
      <c r="A320" s="29"/>
      <c r="B320" s="36"/>
      <c r="C320" s="37">
        <v>0</v>
      </c>
      <c r="D320" s="38"/>
      <c r="E320" s="37">
        <f ca="1"/>
        <v>0</v>
      </c>
      <c r="F320" s="37"/>
    </row>
    <row r="321" spans="1:6" ht="39.049999999999997" customHeight="1">
      <c r="A321" s="29"/>
      <c r="B321" s="36"/>
      <c r="C321" s="37">
        <v>0</v>
      </c>
      <c r="D321" s="38"/>
      <c r="E321" s="37">
        <f ca="1"/>
        <v>0</v>
      </c>
      <c r="F321" s="37"/>
    </row>
    <row r="322" spans="1:6" ht="39.049999999999997" customHeight="1">
      <c r="A322" s="29"/>
      <c r="B322" s="36"/>
      <c r="C322" s="37">
        <v>0</v>
      </c>
      <c r="D322" s="38"/>
      <c r="E322" s="37">
        <f ca="1"/>
        <v>0</v>
      </c>
      <c r="F322" s="37"/>
    </row>
    <row r="323" spans="1:6" ht="39.049999999999997" customHeight="1">
      <c r="A323" s="29"/>
      <c r="B323" s="36"/>
      <c r="C323" s="37">
        <v>0</v>
      </c>
      <c r="D323" s="38"/>
      <c r="E323" s="37">
        <f ca="1"/>
        <v>0</v>
      </c>
      <c r="F323" s="37"/>
    </row>
    <row r="324" spans="1:6" ht="39.049999999999997" customHeight="1">
      <c r="A324" s="29"/>
      <c r="B324" s="36"/>
      <c r="C324" s="37">
        <v>0</v>
      </c>
      <c r="D324" s="38"/>
      <c r="E324" s="37">
        <f ca="1"/>
        <v>0</v>
      </c>
      <c r="F324" s="37"/>
    </row>
    <row r="325" spans="1:6" ht="39.049999999999997" customHeight="1">
      <c r="A325" s="29"/>
      <c r="B325" s="36"/>
      <c r="C325" s="37">
        <v>0</v>
      </c>
      <c r="D325" s="38"/>
      <c r="E325" s="37">
        <f ca="1"/>
        <v>0</v>
      </c>
      <c r="F325" s="37"/>
    </row>
    <row r="326" spans="1:6" ht="39.049999999999997" customHeight="1">
      <c r="A326" s="29"/>
      <c r="B326" s="36"/>
      <c r="C326" s="37">
        <v>0</v>
      </c>
      <c r="D326" s="38"/>
      <c r="E326" s="37">
        <f ca="1"/>
        <v>0</v>
      </c>
      <c r="F326" s="37"/>
    </row>
    <row r="327" spans="1:6" ht="39.049999999999997" customHeight="1">
      <c r="A327" s="29"/>
      <c r="B327" s="36"/>
      <c r="C327" s="37">
        <v>0</v>
      </c>
      <c r="D327" s="38"/>
      <c r="E327" s="37">
        <f ca="1"/>
        <v>0</v>
      </c>
      <c r="F327" s="37"/>
    </row>
    <row r="328" spans="1:6" ht="39.049999999999997" customHeight="1">
      <c r="A328" s="29"/>
      <c r="B328" s="36"/>
      <c r="C328" s="37">
        <v>0</v>
      </c>
      <c r="D328" s="38"/>
      <c r="E328" s="37">
        <f ca="1"/>
        <v>0</v>
      </c>
      <c r="F328" s="37"/>
    </row>
    <row r="329" spans="1:6" ht="39.049999999999997" customHeight="1">
      <c r="A329" s="29"/>
      <c r="B329" s="36"/>
      <c r="C329" s="37">
        <v>0</v>
      </c>
      <c r="D329" s="38"/>
      <c r="E329" s="37">
        <f ca="1"/>
        <v>0</v>
      </c>
      <c r="F329" s="37"/>
    </row>
    <row r="330" spans="1:6" ht="39.049999999999997" customHeight="1">
      <c r="A330" s="29"/>
      <c r="B330" s="36"/>
      <c r="C330" s="37">
        <v>0</v>
      </c>
      <c r="D330" s="38"/>
      <c r="E330" s="37">
        <f ca="1"/>
        <v>0</v>
      </c>
      <c r="F330" s="37"/>
    </row>
    <row r="331" spans="1:6" ht="39.049999999999997" customHeight="1">
      <c r="A331" s="29"/>
      <c r="B331" s="36"/>
      <c r="C331" s="37">
        <v>0</v>
      </c>
      <c r="D331" s="38"/>
      <c r="E331" s="37">
        <f ca="1"/>
        <v>0</v>
      </c>
      <c r="F331" s="37"/>
    </row>
    <row r="332" spans="1:6" ht="39.049999999999997" customHeight="1">
      <c r="A332" s="29"/>
      <c r="B332" s="36"/>
      <c r="C332" s="37">
        <v>0</v>
      </c>
      <c r="D332" s="38"/>
      <c r="E332" s="37">
        <f ca="1"/>
        <v>0</v>
      </c>
      <c r="F332" s="37"/>
    </row>
    <row r="333" spans="1:6" ht="39.049999999999997" customHeight="1">
      <c r="A333" s="29"/>
      <c r="B333" s="36"/>
      <c r="C333" s="37">
        <v>0</v>
      </c>
      <c r="D333" s="38"/>
      <c r="E333" s="37">
        <f ca="1"/>
        <v>0</v>
      </c>
      <c r="F333" s="37"/>
    </row>
    <row r="334" spans="1:6" ht="39.049999999999997" customHeight="1">
      <c r="A334" s="29"/>
      <c r="B334" s="36"/>
      <c r="C334" s="37">
        <v>0</v>
      </c>
      <c r="D334" s="38"/>
      <c r="E334" s="37">
        <f ca="1"/>
        <v>0</v>
      </c>
      <c r="F334" s="37"/>
    </row>
    <row r="335" spans="1:6" ht="39.049999999999997" customHeight="1">
      <c r="A335" s="29"/>
      <c r="B335" s="36"/>
      <c r="C335" s="37">
        <v>0</v>
      </c>
      <c r="D335" s="38"/>
      <c r="E335" s="37">
        <f ca="1"/>
        <v>0</v>
      </c>
      <c r="F335" s="37"/>
    </row>
    <row r="336" spans="1:6" ht="39.049999999999997" customHeight="1">
      <c r="A336" s="29"/>
      <c r="B336" s="36"/>
      <c r="C336" s="37">
        <v>0</v>
      </c>
      <c r="D336" s="38"/>
      <c r="E336" s="37">
        <f ca="1"/>
        <v>0</v>
      </c>
      <c r="F336" s="37"/>
    </row>
    <row r="337" spans="1:6" ht="39.049999999999997" customHeight="1">
      <c r="A337" s="29"/>
      <c r="B337" s="36"/>
      <c r="C337" s="37">
        <v>0</v>
      </c>
      <c r="D337" s="38"/>
      <c r="E337" s="37">
        <f ca="1"/>
        <v>0</v>
      </c>
      <c r="F337" s="37"/>
    </row>
    <row r="338" spans="1:6" ht="39.049999999999997" customHeight="1">
      <c r="A338" s="29"/>
      <c r="B338" s="36"/>
      <c r="C338" s="37">
        <v>0</v>
      </c>
      <c r="D338" s="38"/>
      <c r="E338" s="37">
        <f ca="1"/>
        <v>0</v>
      </c>
      <c r="F338" s="37"/>
    </row>
    <row r="339" spans="1:6" ht="39.049999999999997" customHeight="1">
      <c r="A339" s="29"/>
      <c r="B339" s="36"/>
      <c r="C339" s="37">
        <v>0</v>
      </c>
      <c r="D339" s="38"/>
      <c r="E339" s="37">
        <f ca="1"/>
        <v>0</v>
      </c>
      <c r="F339" s="37"/>
    </row>
    <row r="340" spans="1:6" ht="39.049999999999997" customHeight="1">
      <c r="A340" s="29"/>
      <c r="B340" s="36"/>
      <c r="C340" s="37">
        <v>0</v>
      </c>
      <c r="D340" s="38"/>
      <c r="E340" s="37">
        <f ca="1"/>
        <v>0</v>
      </c>
      <c r="F340" s="37"/>
    </row>
    <row r="341" spans="1:6" ht="39.049999999999997" customHeight="1">
      <c r="A341" s="29"/>
      <c r="B341" s="36"/>
      <c r="C341" s="37">
        <v>0</v>
      </c>
      <c r="D341" s="38"/>
      <c r="E341" s="37">
        <f ca="1"/>
        <v>0</v>
      </c>
      <c r="F341" s="37"/>
    </row>
    <row r="342" spans="1:6" ht="39.049999999999997" customHeight="1">
      <c r="A342" s="29"/>
      <c r="B342" s="36"/>
      <c r="C342" s="37">
        <v>0</v>
      </c>
      <c r="D342" s="38"/>
      <c r="E342" s="37">
        <f ca="1"/>
        <v>0</v>
      </c>
      <c r="F342" s="37"/>
    </row>
    <row r="343" spans="1:6" ht="39.049999999999997" customHeight="1">
      <c r="A343" s="29"/>
      <c r="B343" s="36"/>
      <c r="C343" s="37">
        <v>0</v>
      </c>
      <c r="D343" s="38"/>
      <c r="E343" s="37">
        <f ca="1"/>
        <v>0</v>
      </c>
      <c r="F343" s="37"/>
    </row>
    <row r="344" spans="1:6" ht="39.049999999999997" customHeight="1">
      <c r="A344" s="29"/>
      <c r="B344" s="36"/>
      <c r="C344" s="37">
        <v>0</v>
      </c>
      <c r="D344" s="38"/>
      <c r="E344" s="37">
        <f ca="1"/>
        <v>0</v>
      </c>
      <c r="F344" s="37"/>
    </row>
    <row r="345" spans="1:6" ht="39.049999999999997" customHeight="1">
      <c r="A345" s="29"/>
      <c r="B345" s="36"/>
      <c r="C345" s="37">
        <v>0</v>
      </c>
      <c r="D345" s="38"/>
      <c r="E345" s="37">
        <f ca="1"/>
        <v>0</v>
      </c>
      <c r="F345" s="37"/>
    </row>
    <row r="346" spans="1:6" ht="39.049999999999997" customHeight="1">
      <c r="A346" s="29"/>
      <c r="B346" s="36"/>
      <c r="C346" s="37">
        <v>0</v>
      </c>
      <c r="D346" s="38"/>
      <c r="E346" s="37">
        <f ca="1"/>
        <v>0</v>
      </c>
      <c r="F346" s="37"/>
    </row>
    <row r="347" spans="1:6" ht="39.049999999999997" customHeight="1">
      <c r="A347" s="29"/>
      <c r="B347" s="36"/>
      <c r="C347" s="37">
        <v>0</v>
      </c>
      <c r="D347" s="38"/>
      <c r="E347" s="37">
        <f ca="1"/>
        <v>0</v>
      </c>
      <c r="F347" s="37"/>
    </row>
    <row r="348" spans="1:6" ht="39.049999999999997" customHeight="1">
      <c r="A348" s="29"/>
      <c r="B348" s="36"/>
      <c r="C348" s="37">
        <v>0</v>
      </c>
      <c r="D348" s="38"/>
      <c r="E348" s="37">
        <f ca="1"/>
        <v>0</v>
      </c>
      <c r="F348" s="37"/>
    </row>
    <row r="349" spans="1:6" ht="39.049999999999997" customHeight="1">
      <c r="A349" s="29"/>
      <c r="B349" s="36"/>
      <c r="C349" s="37">
        <v>0</v>
      </c>
      <c r="D349" s="38"/>
      <c r="E349" s="37">
        <f ca="1"/>
        <v>0</v>
      </c>
      <c r="F349" s="37"/>
    </row>
    <row r="350" spans="1:6" ht="39.049999999999997" customHeight="1">
      <c r="A350" s="29"/>
      <c r="B350" s="36"/>
      <c r="C350" s="37">
        <v>0</v>
      </c>
      <c r="D350" s="38"/>
      <c r="E350" s="37">
        <f ca="1"/>
        <v>0</v>
      </c>
      <c r="F350" s="37"/>
    </row>
    <row r="351" spans="1:6" ht="39.049999999999997" customHeight="1">
      <c r="A351" s="29"/>
      <c r="B351" s="36"/>
      <c r="C351" s="37">
        <v>0</v>
      </c>
      <c r="D351" s="38"/>
      <c r="E351" s="37">
        <f ca="1"/>
        <v>0</v>
      </c>
      <c r="F351" s="37"/>
    </row>
    <row r="352" spans="1:6" ht="39.049999999999997" customHeight="1">
      <c r="A352" s="29"/>
      <c r="B352" s="36"/>
      <c r="C352" s="37">
        <v>0</v>
      </c>
      <c r="D352" s="38"/>
      <c r="E352" s="37">
        <f ca="1"/>
        <v>0</v>
      </c>
      <c r="F352" s="37"/>
    </row>
    <row r="353" spans="1:6" ht="39.049999999999997" customHeight="1">
      <c r="A353" s="29"/>
      <c r="B353" s="36"/>
      <c r="C353" s="37">
        <v>0</v>
      </c>
      <c r="D353" s="38"/>
      <c r="E353" s="37">
        <f ca="1"/>
        <v>0</v>
      </c>
      <c r="F353" s="37"/>
    </row>
    <row r="354" spans="1:6" ht="39.049999999999997" customHeight="1">
      <c r="A354" s="29"/>
      <c r="B354" s="36"/>
      <c r="C354" s="37">
        <v>0</v>
      </c>
      <c r="D354" s="38"/>
      <c r="E354" s="37">
        <f ca="1"/>
        <v>0</v>
      </c>
      <c r="F354" s="37"/>
    </row>
    <row r="355" spans="1:6" ht="39.049999999999997" customHeight="1">
      <c r="A355" s="29"/>
      <c r="B355" s="36"/>
      <c r="C355" s="37">
        <v>0</v>
      </c>
      <c r="D355" s="38"/>
      <c r="E355" s="37">
        <f ca="1"/>
        <v>0</v>
      </c>
      <c r="F355" s="37"/>
    </row>
    <row r="356" spans="1:6" ht="39.049999999999997" customHeight="1">
      <c r="A356" s="29"/>
      <c r="B356" s="36"/>
      <c r="C356" s="37">
        <v>0</v>
      </c>
      <c r="D356" s="38"/>
      <c r="E356" s="37">
        <f ca="1"/>
        <v>0</v>
      </c>
      <c r="F356" s="37"/>
    </row>
    <row r="357" spans="1:6" ht="39.049999999999997" customHeight="1">
      <c r="A357" s="29"/>
      <c r="B357" s="36"/>
      <c r="C357" s="37">
        <v>0</v>
      </c>
      <c r="D357" s="38"/>
      <c r="E357" s="37">
        <f ca="1"/>
        <v>0</v>
      </c>
      <c r="F357" s="37"/>
    </row>
    <row r="358" spans="1:6" ht="39.049999999999997" customHeight="1">
      <c r="A358" s="29"/>
      <c r="B358" s="36"/>
      <c r="C358" s="37">
        <v>0</v>
      </c>
      <c r="D358" s="38"/>
      <c r="E358" s="37">
        <f ca="1"/>
        <v>0</v>
      </c>
      <c r="F358" s="37"/>
    </row>
    <row r="359" spans="1:6" ht="39.049999999999997" customHeight="1">
      <c r="A359" s="29"/>
      <c r="B359" s="36"/>
      <c r="C359" s="37">
        <v>0</v>
      </c>
      <c r="D359" s="38"/>
      <c r="E359" s="37">
        <f ca="1"/>
        <v>0</v>
      </c>
      <c r="F359" s="37"/>
    </row>
    <row r="360" spans="1:6" ht="39.049999999999997" customHeight="1">
      <c r="A360" s="29"/>
      <c r="B360" s="36"/>
      <c r="C360" s="37">
        <v>0</v>
      </c>
      <c r="D360" s="38"/>
      <c r="E360" s="37">
        <f ca="1"/>
        <v>0</v>
      </c>
      <c r="F360" s="37"/>
    </row>
    <row r="361" spans="1:6" ht="39.049999999999997" customHeight="1">
      <c r="A361" s="29"/>
      <c r="B361" s="36"/>
      <c r="C361" s="37">
        <v>0</v>
      </c>
      <c r="D361" s="38"/>
      <c r="E361" s="37">
        <f ca="1"/>
        <v>0</v>
      </c>
      <c r="F361" s="37"/>
    </row>
    <row r="362" spans="1:6" ht="39.049999999999997" customHeight="1">
      <c r="A362" s="29"/>
      <c r="B362" s="36"/>
      <c r="C362" s="37">
        <v>0</v>
      </c>
      <c r="D362" s="38"/>
      <c r="E362" s="37">
        <f ca="1"/>
        <v>0</v>
      </c>
      <c r="F362" s="37"/>
    </row>
    <row r="363" spans="1:6" ht="39.049999999999997" customHeight="1">
      <c r="A363" s="29"/>
      <c r="B363" s="36"/>
      <c r="C363" s="37">
        <v>0</v>
      </c>
      <c r="D363" s="38"/>
      <c r="E363" s="37">
        <f ca="1"/>
        <v>0</v>
      </c>
      <c r="F363" s="37"/>
    </row>
    <row r="364" spans="1:6" ht="39.049999999999997" customHeight="1">
      <c r="A364" s="29"/>
      <c r="B364" s="36"/>
      <c r="C364" s="37">
        <v>0</v>
      </c>
      <c r="D364" s="38"/>
      <c r="E364" s="37">
        <f ca="1"/>
        <v>0</v>
      </c>
      <c r="F364" s="37"/>
    </row>
    <row r="365" spans="1:6" ht="39.049999999999997" customHeight="1">
      <c r="A365" s="29"/>
      <c r="B365" s="36"/>
      <c r="C365" s="37">
        <v>0</v>
      </c>
      <c r="D365" s="38"/>
      <c r="E365" s="37">
        <f ca="1"/>
        <v>0</v>
      </c>
      <c r="F365" s="37"/>
    </row>
    <row r="366" spans="1:6" ht="39.049999999999997" customHeight="1">
      <c r="A366" s="29"/>
      <c r="B366" s="36"/>
      <c r="C366" s="37">
        <v>0</v>
      </c>
      <c r="D366" s="38"/>
      <c r="E366" s="37">
        <f ca="1"/>
        <v>0</v>
      </c>
      <c r="F366" s="37"/>
    </row>
    <row r="367" spans="1:6" ht="39.049999999999997" customHeight="1">
      <c r="A367" s="29"/>
      <c r="B367" s="36"/>
      <c r="C367" s="37">
        <v>0</v>
      </c>
      <c r="D367" s="38"/>
      <c r="E367" s="37">
        <f ca="1"/>
        <v>0</v>
      </c>
      <c r="F367" s="37"/>
    </row>
    <row r="368" spans="1:6" ht="39.049999999999997" customHeight="1">
      <c r="A368" s="29"/>
      <c r="B368" s="36"/>
      <c r="C368" s="37">
        <v>0</v>
      </c>
      <c r="D368" s="38"/>
      <c r="E368" s="37">
        <f ca="1"/>
        <v>0</v>
      </c>
      <c r="F368" s="37"/>
    </row>
    <row r="369" spans="1:6" ht="39.049999999999997" customHeight="1">
      <c r="A369" s="29"/>
      <c r="B369" s="36"/>
      <c r="C369" s="37">
        <v>0</v>
      </c>
      <c r="D369" s="38"/>
      <c r="E369" s="37">
        <f ca="1"/>
        <v>0</v>
      </c>
      <c r="F369" s="37"/>
    </row>
    <row r="370" spans="1:6" ht="39.049999999999997" customHeight="1">
      <c r="A370" s="29"/>
      <c r="B370" s="36"/>
      <c r="C370" s="37">
        <v>0</v>
      </c>
      <c r="D370" s="38"/>
      <c r="E370" s="37">
        <f ca="1"/>
        <v>0</v>
      </c>
      <c r="F370" s="37"/>
    </row>
    <row r="371" spans="1:6" ht="39.049999999999997" customHeight="1">
      <c r="A371" s="29"/>
      <c r="B371" s="36"/>
      <c r="C371" s="37">
        <v>0</v>
      </c>
      <c r="D371" s="38"/>
      <c r="E371" s="37">
        <f ca="1"/>
        <v>0</v>
      </c>
      <c r="F371" s="37"/>
    </row>
    <row r="372" spans="1:6" ht="39.049999999999997" customHeight="1">
      <c r="A372" s="29"/>
      <c r="B372" s="36"/>
      <c r="C372" s="37">
        <v>0</v>
      </c>
      <c r="D372" s="38"/>
      <c r="E372" s="37">
        <f ca="1"/>
        <v>0</v>
      </c>
      <c r="F372" s="37"/>
    </row>
    <row r="373" spans="1:6" ht="39.049999999999997" customHeight="1">
      <c r="A373" s="29"/>
      <c r="B373" s="36"/>
      <c r="C373" s="37">
        <v>0</v>
      </c>
      <c r="D373" s="38"/>
      <c r="E373" s="37">
        <f ca="1"/>
        <v>0</v>
      </c>
      <c r="F373" s="37"/>
    </row>
    <row r="374" spans="1:6" ht="39.049999999999997" customHeight="1">
      <c r="A374" s="29"/>
      <c r="B374" s="36"/>
      <c r="C374" s="37">
        <v>0</v>
      </c>
      <c r="D374" s="38"/>
      <c r="E374" s="37">
        <f ca="1"/>
        <v>0</v>
      </c>
      <c r="F374" s="37"/>
    </row>
    <row r="375" spans="1:6" ht="39.049999999999997" customHeight="1">
      <c r="A375" s="29"/>
      <c r="B375" s="36"/>
      <c r="C375" s="37">
        <v>0</v>
      </c>
      <c r="D375" s="38"/>
      <c r="E375" s="37">
        <f ca="1"/>
        <v>0</v>
      </c>
      <c r="F375" s="37"/>
    </row>
    <row r="376" spans="1:6" ht="39.049999999999997" customHeight="1">
      <c r="A376" s="29"/>
      <c r="B376" s="36"/>
      <c r="C376" s="37">
        <v>0</v>
      </c>
      <c r="D376" s="38"/>
      <c r="E376" s="37">
        <f ca="1"/>
        <v>0</v>
      </c>
      <c r="F376" s="37"/>
    </row>
    <row r="377" spans="1:6" ht="39.049999999999997" customHeight="1">
      <c r="A377" s="29"/>
      <c r="B377" s="36"/>
      <c r="C377" s="37">
        <v>0</v>
      </c>
      <c r="D377" s="38"/>
      <c r="E377" s="37">
        <f ca="1"/>
        <v>0</v>
      </c>
      <c r="F377" s="37"/>
    </row>
    <row r="378" spans="1:6" ht="39.049999999999997" customHeight="1">
      <c r="A378" s="29"/>
      <c r="B378" s="36"/>
      <c r="C378" s="37">
        <v>0</v>
      </c>
      <c r="D378" s="38"/>
      <c r="E378" s="37">
        <f ca="1"/>
        <v>0</v>
      </c>
      <c r="F378" s="37"/>
    </row>
    <row r="379" spans="1:6" ht="39.049999999999997" customHeight="1">
      <c r="A379" s="29"/>
      <c r="B379" s="36"/>
      <c r="C379" s="37">
        <v>0</v>
      </c>
      <c r="D379" s="38"/>
      <c r="E379" s="37">
        <f ca="1"/>
        <v>0</v>
      </c>
      <c r="F379" s="37"/>
    </row>
    <row r="380" spans="1:6" ht="39.049999999999997" customHeight="1">
      <c r="A380" s="29"/>
      <c r="B380" s="36"/>
      <c r="C380" s="37">
        <v>0</v>
      </c>
      <c r="D380" s="38"/>
      <c r="E380" s="37">
        <f ca="1"/>
        <v>0</v>
      </c>
      <c r="F380" s="37"/>
    </row>
    <row r="381" spans="1:6" ht="39.049999999999997" customHeight="1">
      <c r="A381" s="29"/>
      <c r="B381" s="36"/>
      <c r="C381" s="37">
        <v>0</v>
      </c>
      <c r="D381" s="38"/>
      <c r="E381" s="37">
        <f ca="1"/>
        <v>0</v>
      </c>
      <c r="F381" s="37"/>
    </row>
    <row r="382" spans="1:6" ht="39.049999999999997" customHeight="1">
      <c r="A382" s="29"/>
      <c r="B382" s="36"/>
      <c r="C382" s="37">
        <v>0</v>
      </c>
      <c r="D382" s="38"/>
      <c r="E382" s="37">
        <f ca="1"/>
        <v>0</v>
      </c>
      <c r="F382" s="37"/>
    </row>
    <row r="383" spans="1:6" ht="39.049999999999997" customHeight="1">
      <c r="A383" s="29"/>
      <c r="B383" s="36"/>
      <c r="C383" s="37">
        <v>0</v>
      </c>
      <c r="D383" s="38"/>
      <c r="E383" s="37">
        <f ca="1"/>
        <v>0</v>
      </c>
      <c r="F383" s="37"/>
    </row>
    <row r="384" spans="1:6" ht="39.049999999999997" customHeight="1">
      <c r="A384" s="29"/>
      <c r="B384" s="36"/>
      <c r="C384" s="37">
        <v>0</v>
      </c>
      <c r="D384" s="38"/>
      <c r="E384" s="37">
        <f ca="1"/>
        <v>0</v>
      </c>
      <c r="F384" s="37"/>
    </row>
    <row r="385" spans="1:6" ht="39.049999999999997" customHeight="1">
      <c r="A385" s="29"/>
      <c r="B385" s="36"/>
      <c r="C385" s="37">
        <v>0</v>
      </c>
      <c r="D385" s="38"/>
      <c r="E385" s="37">
        <f ca="1"/>
        <v>0</v>
      </c>
      <c r="F385" s="37"/>
    </row>
    <row r="386" spans="1:6" ht="39.049999999999997" customHeight="1">
      <c r="A386" s="29"/>
      <c r="B386" s="36"/>
      <c r="C386" s="37">
        <v>0</v>
      </c>
      <c r="D386" s="38"/>
      <c r="E386" s="37">
        <f ca="1"/>
        <v>0</v>
      </c>
      <c r="F386" s="37"/>
    </row>
    <row r="387" spans="1:6" ht="39.049999999999997" customHeight="1">
      <c r="A387" s="29"/>
      <c r="B387" s="36"/>
      <c r="C387" s="37">
        <v>0</v>
      </c>
      <c r="D387" s="38"/>
      <c r="E387" s="37">
        <f ca="1"/>
        <v>0</v>
      </c>
      <c r="F387" s="37"/>
    </row>
    <row r="388" spans="1:6" ht="39.049999999999997" customHeight="1">
      <c r="A388" s="29"/>
      <c r="B388" s="36"/>
      <c r="C388" s="37">
        <v>0</v>
      </c>
      <c r="D388" s="38"/>
      <c r="E388" s="37">
        <f ca="1"/>
        <v>0</v>
      </c>
      <c r="F388" s="37"/>
    </row>
    <row r="389" spans="1:6" ht="39.049999999999997" customHeight="1">
      <c r="A389" s="29"/>
      <c r="B389" s="36"/>
      <c r="C389" s="37">
        <v>0</v>
      </c>
      <c r="D389" s="38"/>
      <c r="E389" s="37">
        <f ca="1"/>
        <v>0</v>
      </c>
      <c r="F389" s="37"/>
    </row>
    <row r="390" spans="1:6" ht="39.049999999999997" customHeight="1">
      <c r="A390" s="29"/>
      <c r="B390" s="36"/>
      <c r="C390" s="37">
        <v>0</v>
      </c>
      <c r="D390" s="38"/>
      <c r="E390" s="37">
        <f ca="1"/>
        <v>0</v>
      </c>
      <c r="F390" s="37"/>
    </row>
    <row r="391" spans="1:6" ht="39.049999999999997" customHeight="1">
      <c r="A391" s="29"/>
      <c r="B391" s="36"/>
      <c r="C391" s="37">
        <v>0</v>
      </c>
      <c r="D391" s="38"/>
      <c r="E391" s="37">
        <f ca="1"/>
        <v>0</v>
      </c>
      <c r="F391" s="37"/>
    </row>
    <row r="392" spans="1:6" ht="39.049999999999997" customHeight="1">
      <c r="A392" s="29"/>
      <c r="B392" s="36"/>
      <c r="C392" s="37">
        <v>0</v>
      </c>
      <c r="D392" s="38"/>
      <c r="E392" s="37">
        <f ca="1"/>
        <v>0</v>
      </c>
      <c r="F392" s="37"/>
    </row>
    <row r="393" spans="1:6" ht="39.049999999999997" customHeight="1">
      <c r="A393" s="29"/>
      <c r="B393" s="36"/>
      <c r="C393" s="37">
        <v>0</v>
      </c>
      <c r="D393" s="38"/>
      <c r="E393" s="37">
        <f ca="1"/>
        <v>0</v>
      </c>
      <c r="F393" s="37"/>
    </row>
    <row r="394" spans="1:6" ht="39.049999999999997" customHeight="1">
      <c r="A394" s="29"/>
      <c r="B394" s="36"/>
      <c r="C394" s="37">
        <v>0</v>
      </c>
      <c r="D394" s="38"/>
      <c r="E394" s="37">
        <f ca="1"/>
        <v>0</v>
      </c>
      <c r="F394" s="37"/>
    </row>
    <row r="395" spans="1:6" ht="39.049999999999997" customHeight="1">
      <c r="A395" s="29"/>
      <c r="B395" s="36"/>
      <c r="C395" s="37">
        <v>0</v>
      </c>
      <c r="D395" s="38"/>
      <c r="E395" s="37">
        <f ca="1"/>
        <v>0</v>
      </c>
      <c r="F395" s="37"/>
    </row>
    <row r="396" spans="1:6" ht="39.049999999999997" customHeight="1">
      <c r="A396" s="29"/>
      <c r="B396" s="36"/>
      <c r="C396" s="37">
        <v>0</v>
      </c>
      <c r="D396" s="38"/>
      <c r="E396" s="37">
        <f ca="1"/>
        <v>0</v>
      </c>
      <c r="F396" s="37"/>
    </row>
    <row r="397" spans="1:6" ht="39.049999999999997" customHeight="1">
      <c r="A397" s="29"/>
      <c r="B397" s="36"/>
      <c r="C397" s="37">
        <v>0</v>
      </c>
      <c r="D397" s="38"/>
      <c r="E397" s="37">
        <f ca="1"/>
        <v>0</v>
      </c>
      <c r="F397" s="37"/>
    </row>
    <row r="398" spans="1:6" ht="39.049999999999997" customHeight="1">
      <c r="A398" s="29"/>
      <c r="B398" s="36"/>
      <c r="C398" s="37">
        <v>0</v>
      </c>
      <c r="D398" s="38"/>
      <c r="E398" s="37">
        <f ca="1"/>
        <v>0</v>
      </c>
      <c r="F398" s="37"/>
    </row>
    <row r="399" spans="1:6" ht="39.049999999999997" customHeight="1">
      <c r="A399" s="29"/>
      <c r="B399" s="36"/>
      <c r="C399" s="37">
        <v>0</v>
      </c>
      <c r="D399" s="38"/>
      <c r="E399" s="37">
        <f ca="1"/>
        <v>0</v>
      </c>
      <c r="F399" s="37"/>
    </row>
    <row r="400" spans="1:6" ht="39.049999999999997" customHeight="1">
      <c r="A400" s="29"/>
      <c r="B400" s="36"/>
      <c r="C400" s="37">
        <v>0</v>
      </c>
      <c r="D400" s="38"/>
      <c r="E400" s="37">
        <f ca="1"/>
        <v>0</v>
      </c>
      <c r="F400" s="37"/>
    </row>
    <row r="401" spans="1:6" ht="39.049999999999997" customHeight="1">
      <c r="A401" s="29"/>
      <c r="B401" s="36"/>
      <c r="C401" s="37">
        <v>0</v>
      </c>
      <c r="D401" s="38"/>
      <c r="E401" s="37">
        <f ca="1"/>
        <v>0</v>
      </c>
      <c r="F401" s="37"/>
    </row>
    <row r="402" spans="1:6" ht="39.049999999999997" customHeight="1">
      <c r="A402" s="29"/>
      <c r="B402" s="36"/>
      <c r="C402" s="37">
        <v>0</v>
      </c>
      <c r="D402" s="38"/>
      <c r="E402" s="37">
        <f ca="1"/>
        <v>0</v>
      </c>
      <c r="F402" s="37"/>
    </row>
    <row r="403" spans="1:6" ht="39.049999999999997" customHeight="1">
      <c r="A403" s="29"/>
      <c r="B403" s="36"/>
      <c r="C403" s="37">
        <v>0</v>
      </c>
      <c r="D403" s="38"/>
      <c r="E403" s="37">
        <f ca="1"/>
        <v>0</v>
      </c>
      <c r="F403" s="37"/>
    </row>
    <row r="404" spans="1:6" ht="39.049999999999997" customHeight="1">
      <c r="A404" s="29"/>
      <c r="B404" s="36"/>
      <c r="C404" s="37">
        <v>0</v>
      </c>
      <c r="D404" s="38"/>
      <c r="E404" s="37">
        <f ca="1"/>
        <v>0</v>
      </c>
      <c r="F404" s="37"/>
    </row>
    <row r="405" spans="1:6" ht="39.049999999999997" customHeight="1">
      <c r="A405" s="29"/>
      <c r="B405" s="36"/>
      <c r="C405" s="37">
        <v>0</v>
      </c>
      <c r="D405" s="38"/>
      <c r="E405" s="37">
        <f ca="1"/>
        <v>0</v>
      </c>
      <c r="F405" s="37"/>
    </row>
    <row r="406" spans="1:6" ht="39.049999999999997" customHeight="1">
      <c r="A406" s="29"/>
      <c r="B406" s="36"/>
      <c r="C406" s="37">
        <v>0</v>
      </c>
      <c r="D406" s="38"/>
      <c r="E406" s="37">
        <f ca="1"/>
        <v>0</v>
      </c>
      <c r="F406" s="37"/>
    </row>
    <row r="407" spans="1:6" ht="39.049999999999997" customHeight="1">
      <c r="A407" s="29"/>
      <c r="B407" s="36"/>
      <c r="C407" s="37">
        <v>0</v>
      </c>
      <c r="D407" s="38"/>
      <c r="E407" s="37">
        <f ca="1"/>
        <v>0</v>
      </c>
      <c r="F407" s="37"/>
    </row>
    <row r="408" spans="1:6" ht="39.049999999999997" customHeight="1">
      <c r="A408" s="29"/>
      <c r="B408" s="36"/>
      <c r="C408" s="37">
        <v>0</v>
      </c>
      <c r="D408" s="38"/>
      <c r="E408" s="37">
        <f ca="1"/>
        <v>0</v>
      </c>
      <c r="F408" s="37"/>
    </row>
    <row r="409" spans="1:6" ht="39.049999999999997" customHeight="1">
      <c r="A409" s="29"/>
      <c r="B409" s="36"/>
      <c r="C409" s="37">
        <v>0</v>
      </c>
      <c r="D409" s="38"/>
      <c r="E409" s="37">
        <f ca="1"/>
        <v>0</v>
      </c>
      <c r="F409" s="37"/>
    </row>
    <row r="410" spans="1:6" ht="39.049999999999997" customHeight="1">
      <c r="A410" s="29"/>
      <c r="B410" s="36"/>
      <c r="C410" s="37">
        <v>0</v>
      </c>
      <c r="D410" s="38"/>
      <c r="E410" s="37">
        <f ca="1"/>
        <v>0</v>
      </c>
      <c r="F410" s="37"/>
    </row>
    <row r="411" spans="1:6" ht="39.049999999999997" customHeight="1">
      <c r="A411" s="29"/>
      <c r="B411" s="36"/>
      <c r="C411" s="37">
        <v>0</v>
      </c>
      <c r="D411" s="38"/>
      <c r="E411" s="37">
        <f ca="1"/>
        <v>0</v>
      </c>
      <c r="F411" s="37"/>
    </row>
    <row r="412" spans="1:6" ht="39.049999999999997" customHeight="1">
      <c r="A412" s="29"/>
      <c r="B412" s="36"/>
      <c r="C412" s="37">
        <v>0</v>
      </c>
      <c r="D412" s="38"/>
      <c r="E412" s="37">
        <f ca="1"/>
        <v>0</v>
      </c>
      <c r="F412" s="37"/>
    </row>
    <row r="413" spans="1:6" ht="39.049999999999997" customHeight="1">
      <c r="A413" s="29"/>
      <c r="B413" s="36"/>
      <c r="C413" s="37">
        <v>0</v>
      </c>
      <c r="D413" s="38"/>
      <c r="E413" s="37">
        <f ca="1"/>
        <v>0</v>
      </c>
      <c r="F413" s="37"/>
    </row>
    <row r="414" spans="1:6" ht="39.049999999999997" customHeight="1">
      <c r="A414" s="29"/>
      <c r="B414" s="36"/>
      <c r="C414" s="37">
        <v>0</v>
      </c>
      <c r="D414" s="38"/>
      <c r="E414" s="37">
        <f ca="1"/>
        <v>0</v>
      </c>
      <c r="F414" s="37"/>
    </row>
    <row r="415" spans="1:6" ht="39.049999999999997" customHeight="1">
      <c r="A415" s="29"/>
      <c r="B415" s="36"/>
      <c r="C415" s="37">
        <v>0</v>
      </c>
      <c r="D415" s="38"/>
      <c r="E415" s="37">
        <f ca="1"/>
        <v>0</v>
      </c>
      <c r="F415" s="37"/>
    </row>
    <row r="416" spans="1:6" ht="39.049999999999997" customHeight="1">
      <c r="A416" s="29"/>
      <c r="B416" s="36"/>
      <c r="C416" s="37">
        <v>0</v>
      </c>
      <c r="D416" s="38"/>
      <c r="E416" s="37">
        <f ca="1"/>
        <v>0</v>
      </c>
      <c r="F416" s="37"/>
    </row>
    <row r="417" spans="1:6" ht="39.049999999999997" customHeight="1">
      <c r="A417" s="29"/>
      <c r="B417" s="36"/>
      <c r="C417" s="37">
        <v>0</v>
      </c>
      <c r="D417" s="38"/>
      <c r="E417" s="37">
        <f ca="1"/>
        <v>0</v>
      </c>
      <c r="F417" s="37"/>
    </row>
    <row r="418" spans="1:6" ht="39.049999999999997" customHeight="1">
      <c r="A418" s="29"/>
      <c r="B418" s="36"/>
      <c r="C418" s="37">
        <v>0</v>
      </c>
      <c r="D418" s="38"/>
      <c r="E418" s="37">
        <f ca="1"/>
        <v>0</v>
      </c>
      <c r="F418" s="37"/>
    </row>
    <row r="419" spans="1:6" ht="39.049999999999997" customHeight="1">
      <c r="A419" s="29"/>
      <c r="B419" s="36"/>
      <c r="C419" s="37">
        <v>0</v>
      </c>
      <c r="D419" s="38"/>
      <c r="E419" s="37">
        <f ca="1"/>
        <v>0</v>
      </c>
      <c r="F419" s="37"/>
    </row>
    <row r="420" spans="1:6" ht="39.049999999999997" customHeight="1">
      <c r="A420" s="29"/>
      <c r="B420" s="36"/>
      <c r="C420" s="37">
        <v>0</v>
      </c>
      <c r="D420" s="38"/>
      <c r="E420" s="37">
        <f ca="1"/>
        <v>0</v>
      </c>
      <c r="F420" s="37"/>
    </row>
    <row r="421" spans="1:6" ht="39.049999999999997" customHeight="1">
      <c r="A421" s="29"/>
      <c r="B421" s="36"/>
      <c r="C421" s="37">
        <v>0</v>
      </c>
      <c r="D421" s="38"/>
      <c r="E421" s="37">
        <f ca="1"/>
        <v>0</v>
      </c>
      <c r="F421" s="37"/>
    </row>
    <row r="422" spans="1:6" ht="39.049999999999997" customHeight="1">
      <c r="A422" s="29"/>
      <c r="B422" s="36"/>
      <c r="C422" s="37">
        <v>0</v>
      </c>
      <c r="D422" s="38"/>
      <c r="E422" s="37">
        <f ca="1"/>
        <v>0</v>
      </c>
      <c r="F422" s="37"/>
    </row>
    <row r="423" spans="1:6" ht="39.049999999999997" customHeight="1">
      <c r="A423" s="29"/>
      <c r="B423" s="36"/>
      <c r="C423" s="37">
        <v>0</v>
      </c>
      <c r="D423" s="38"/>
      <c r="E423" s="37">
        <f ca="1"/>
        <v>0</v>
      </c>
      <c r="F423" s="37"/>
    </row>
    <row r="424" spans="1:6" ht="39.049999999999997" customHeight="1">
      <c r="A424" s="29"/>
      <c r="B424" s="36"/>
      <c r="C424" s="37">
        <v>0</v>
      </c>
      <c r="D424" s="38"/>
      <c r="E424" s="37">
        <f ca="1"/>
        <v>0</v>
      </c>
      <c r="F424" s="37"/>
    </row>
    <row r="425" spans="1:6" ht="39.049999999999997" customHeight="1">
      <c r="A425" s="29"/>
      <c r="B425" s="36"/>
      <c r="C425" s="37">
        <v>0</v>
      </c>
      <c r="D425" s="38"/>
      <c r="E425" s="37">
        <f ca="1"/>
        <v>0</v>
      </c>
      <c r="F425" s="37"/>
    </row>
    <row r="426" spans="1:6" ht="39.049999999999997" customHeight="1">
      <c r="A426" s="29"/>
      <c r="B426" s="36"/>
      <c r="C426" s="37">
        <v>0</v>
      </c>
      <c r="D426" s="38"/>
      <c r="E426" s="37">
        <f ca="1"/>
        <v>0</v>
      </c>
      <c r="F426" s="37"/>
    </row>
    <row r="427" spans="1:6" ht="39.049999999999997" customHeight="1">
      <c r="A427" s="29"/>
      <c r="B427" s="36"/>
      <c r="C427" s="37">
        <v>0</v>
      </c>
      <c r="D427" s="38"/>
      <c r="E427" s="37">
        <f ca="1"/>
        <v>0</v>
      </c>
      <c r="F427" s="37"/>
    </row>
    <row r="428" spans="1:6" ht="39.049999999999997" customHeight="1">
      <c r="A428" s="29"/>
      <c r="B428" s="36"/>
      <c r="C428" s="37">
        <v>0</v>
      </c>
      <c r="D428" s="38"/>
      <c r="E428" s="37">
        <f ca="1"/>
        <v>0</v>
      </c>
      <c r="F428" s="37"/>
    </row>
    <row r="429" spans="1:6" ht="39.049999999999997" customHeight="1">
      <c r="A429" s="29"/>
      <c r="B429" s="36"/>
      <c r="C429" s="37">
        <v>0</v>
      </c>
      <c r="D429" s="38"/>
      <c r="E429" s="37">
        <f ca="1"/>
        <v>0</v>
      </c>
      <c r="F429" s="37"/>
    </row>
    <row r="430" spans="1:6" ht="39.049999999999997" customHeight="1">
      <c r="A430" s="29"/>
      <c r="B430" s="36"/>
      <c r="C430" s="37">
        <v>0</v>
      </c>
      <c r="D430" s="38"/>
      <c r="E430" s="37">
        <f ca="1"/>
        <v>0</v>
      </c>
      <c r="F430" s="37"/>
    </row>
    <row r="431" spans="1:6" ht="39.049999999999997" customHeight="1">
      <c r="A431" s="29"/>
      <c r="B431" s="36"/>
      <c r="C431" s="37">
        <v>0</v>
      </c>
      <c r="D431" s="38"/>
      <c r="E431" s="37">
        <f ca="1"/>
        <v>0</v>
      </c>
      <c r="F431" s="37"/>
    </row>
    <row r="432" spans="1:6" ht="39.049999999999997" customHeight="1">
      <c r="A432" s="29"/>
      <c r="B432" s="36"/>
      <c r="C432" s="37">
        <v>0</v>
      </c>
      <c r="D432" s="38"/>
      <c r="E432" s="37">
        <f ca="1"/>
        <v>0</v>
      </c>
      <c r="F432" s="37"/>
    </row>
    <row r="433" spans="1:6" ht="39.049999999999997" customHeight="1">
      <c r="A433" s="29"/>
      <c r="B433" s="36"/>
      <c r="C433" s="37">
        <v>0</v>
      </c>
      <c r="D433" s="38"/>
      <c r="E433" s="37">
        <f ca="1"/>
        <v>0</v>
      </c>
      <c r="F433" s="37"/>
    </row>
    <row r="434" spans="1:6" ht="39.049999999999997" customHeight="1">
      <c r="A434" s="29"/>
      <c r="B434" s="36"/>
      <c r="C434" s="37">
        <v>0</v>
      </c>
      <c r="D434" s="38"/>
      <c r="E434" s="37">
        <f ca="1"/>
        <v>0</v>
      </c>
      <c r="F434" s="37"/>
    </row>
    <row r="435" spans="1:6" ht="39.049999999999997" customHeight="1">
      <c r="A435" s="29"/>
      <c r="B435" s="36"/>
      <c r="C435" s="37">
        <v>0</v>
      </c>
      <c r="D435" s="38"/>
      <c r="E435" s="37">
        <f ca="1"/>
        <v>0</v>
      </c>
      <c r="F435" s="37"/>
    </row>
    <row r="436" spans="1:6" ht="39.049999999999997" customHeight="1">
      <c r="A436" s="29"/>
      <c r="B436" s="36"/>
      <c r="C436" s="37">
        <v>0</v>
      </c>
      <c r="D436" s="38"/>
      <c r="E436" s="37">
        <f ca="1"/>
        <v>0</v>
      </c>
      <c r="F436" s="37"/>
    </row>
    <row r="437" spans="1:6" ht="39.049999999999997" customHeight="1">
      <c r="A437" s="29"/>
      <c r="B437" s="36"/>
      <c r="C437" s="37">
        <v>0</v>
      </c>
      <c r="D437" s="38"/>
      <c r="E437" s="37">
        <f ca="1"/>
        <v>0</v>
      </c>
      <c r="F437" s="37"/>
    </row>
    <row r="438" spans="1:6" ht="39.049999999999997" customHeight="1">
      <c r="A438" s="29"/>
      <c r="B438" s="36"/>
      <c r="C438" s="37">
        <v>0</v>
      </c>
      <c r="D438" s="38"/>
      <c r="E438" s="37">
        <f ca="1"/>
        <v>0</v>
      </c>
      <c r="F438" s="37"/>
    </row>
    <row r="439" spans="1:6" ht="39.049999999999997" customHeight="1">
      <c r="A439" s="29"/>
      <c r="B439" s="36"/>
      <c r="C439" s="37">
        <v>0</v>
      </c>
      <c r="D439" s="38"/>
      <c r="E439" s="37">
        <f ca="1"/>
        <v>0</v>
      </c>
      <c r="F439" s="37"/>
    </row>
    <row r="440" spans="1:6" ht="39.049999999999997" customHeight="1">
      <c r="A440" s="29"/>
      <c r="B440" s="36"/>
      <c r="C440" s="37">
        <v>0</v>
      </c>
      <c r="D440" s="38"/>
      <c r="E440" s="37">
        <f ca="1"/>
        <v>0</v>
      </c>
      <c r="F440" s="37"/>
    </row>
    <row r="441" spans="1:6" ht="39.049999999999997" customHeight="1">
      <c r="A441" s="29"/>
      <c r="B441" s="36"/>
      <c r="C441" s="37">
        <v>0</v>
      </c>
      <c r="D441" s="38"/>
      <c r="E441" s="37">
        <f ca="1"/>
        <v>0</v>
      </c>
      <c r="F441" s="37"/>
    </row>
    <row r="442" spans="1:6" ht="39.049999999999997" customHeight="1">
      <c r="A442" s="29"/>
      <c r="B442" s="36"/>
      <c r="C442" s="37">
        <v>0</v>
      </c>
      <c r="D442" s="38"/>
      <c r="E442" s="37">
        <f ca="1"/>
        <v>0</v>
      </c>
      <c r="F442" s="37"/>
    </row>
    <row r="443" spans="1:6" ht="39.049999999999997" customHeight="1">
      <c r="A443" s="29"/>
      <c r="B443" s="36"/>
      <c r="C443" s="37">
        <v>0</v>
      </c>
      <c r="D443" s="38"/>
      <c r="E443" s="37">
        <f ca="1"/>
        <v>0</v>
      </c>
      <c r="F443" s="37"/>
    </row>
    <row r="444" spans="1:6" ht="39.049999999999997" customHeight="1">
      <c r="A444" s="29"/>
      <c r="B444" s="36"/>
      <c r="C444" s="37">
        <v>0</v>
      </c>
      <c r="D444" s="38"/>
      <c r="E444" s="37">
        <f ca="1"/>
        <v>0</v>
      </c>
      <c r="F444" s="37"/>
    </row>
    <row r="445" spans="1:6" ht="39.049999999999997" customHeight="1">
      <c r="A445" s="29"/>
      <c r="B445" s="36"/>
      <c r="C445" s="37">
        <v>0</v>
      </c>
      <c r="D445" s="38"/>
      <c r="E445" s="37">
        <f ca="1"/>
        <v>0</v>
      </c>
      <c r="F445" s="37"/>
    </row>
    <row r="446" spans="1:6" ht="39.049999999999997" customHeight="1">
      <c r="A446" s="29"/>
      <c r="B446" s="36"/>
      <c r="C446" s="37">
        <v>0</v>
      </c>
      <c r="D446" s="38"/>
      <c r="E446" s="37">
        <f ca="1"/>
        <v>0</v>
      </c>
      <c r="F446" s="37"/>
    </row>
    <row r="447" spans="1:6" ht="39.049999999999997" customHeight="1">
      <c r="A447" s="29"/>
      <c r="B447" s="36"/>
      <c r="C447" s="37">
        <v>0</v>
      </c>
      <c r="D447" s="38"/>
      <c r="E447" s="37">
        <f ca="1"/>
        <v>0</v>
      </c>
      <c r="F447" s="37"/>
    </row>
    <row r="448" spans="1:6" ht="39.049999999999997" customHeight="1">
      <c r="A448" s="29"/>
      <c r="B448" s="36"/>
      <c r="C448" s="37">
        <v>0</v>
      </c>
      <c r="D448" s="38"/>
      <c r="E448" s="37">
        <f ca="1"/>
        <v>0</v>
      </c>
      <c r="F448" s="37"/>
    </row>
    <row r="449" spans="1:6" ht="39.049999999999997" customHeight="1">
      <c r="A449" s="29"/>
      <c r="B449" s="36"/>
      <c r="C449" s="37">
        <v>0</v>
      </c>
      <c r="D449" s="38"/>
      <c r="E449" s="37">
        <f ca="1"/>
        <v>0</v>
      </c>
      <c r="F449" s="37"/>
    </row>
    <row r="450" spans="1:6" ht="39.049999999999997" customHeight="1">
      <c r="A450" s="29"/>
      <c r="B450" s="36"/>
      <c r="C450" s="37">
        <v>0</v>
      </c>
      <c r="D450" s="38"/>
      <c r="E450" s="37">
        <f ca="1"/>
        <v>0</v>
      </c>
      <c r="F450" s="37"/>
    </row>
    <row r="451" spans="1:6" ht="39.049999999999997" customHeight="1">
      <c r="A451" s="29"/>
      <c r="B451" s="36"/>
      <c r="C451" s="37">
        <v>0</v>
      </c>
      <c r="D451" s="38"/>
      <c r="E451" s="37">
        <f ca="1"/>
        <v>0</v>
      </c>
      <c r="F451" s="37"/>
    </row>
    <row r="452" spans="1:6" ht="39.049999999999997" customHeight="1">
      <c r="A452" s="29"/>
      <c r="B452" s="36"/>
      <c r="C452" s="37">
        <v>0</v>
      </c>
      <c r="D452" s="38"/>
      <c r="E452" s="37">
        <f ca="1"/>
        <v>0</v>
      </c>
      <c r="F452" s="37"/>
    </row>
    <row r="453" spans="1:6" ht="39.049999999999997" customHeight="1">
      <c r="A453" s="29"/>
      <c r="B453" s="36"/>
      <c r="C453" s="37">
        <v>0</v>
      </c>
      <c r="D453" s="38"/>
      <c r="E453" s="37">
        <f ca="1"/>
        <v>0</v>
      </c>
      <c r="F453" s="37"/>
    </row>
    <row r="454" spans="1:6" ht="39.049999999999997" customHeight="1">
      <c r="A454" s="29"/>
      <c r="B454" s="36"/>
      <c r="C454" s="37">
        <v>0</v>
      </c>
      <c r="D454" s="38"/>
      <c r="E454" s="37">
        <f ca="1"/>
        <v>0</v>
      </c>
      <c r="F454" s="37"/>
    </row>
    <row r="455" spans="1:6" ht="39.049999999999997" customHeight="1">
      <c r="A455" s="29"/>
      <c r="B455" s="36"/>
      <c r="C455" s="37">
        <v>0</v>
      </c>
      <c r="D455" s="38"/>
      <c r="E455" s="37">
        <f ca="1"/>
        <v>0</v>
      </c>
      <c r="F455" s="37"/>
    </row>
    <row r="456" spans="1:6" ht="39.049999999999997" customHeight="1">
      <c r="A456" s="29"/>
      <c r="B456" s="36"/>
      <c r="C456" s="37">
        <v>0</v>
      </c>
      <c r="D456" s="38"/>
      <c r="E456" s="37">
        <f ca="1"/>
        <v>0</v>
      </c>
      <c r="F456" s="37"/>
    </row>
    <row r="457" spans="1:6" ht="39.049999999999997" customHeight="1">
      <c r="A457" s="29"/>
      <c r="B457" s="36"/>
      <c r="C457" s="37">
        <v>0</v>
      </c>
      <c r="D457" s="38"/>
      <c r="E457" s="37">
        <f ca="1"/>
        <v>0</v>
      </c>
      <c r="F457" s="37"/>
    </row>
    <row r="458" spans="1:6" ht="39.049999999999997" customHeight="1">
      <c r="A458" s="29"/>
      <c r="B458" s="36"/>
      <c r="C458" s="37">
        <v>0</v>
      </c>
      <c r="D458" s="38"/>
      <c r="E458" s="37">
        <f ca="1"/>
        <v>0</v>
      </c>
      <c r="F458" s="37"/>
    </row>
    <row r="459" spans="1:6" ht="39.049999999999997" customHeight="1">
      <c r="A459" s="29"/>
      <c r="B459" s="36"/>
      <c r="C459" s="37">
        <v>0</v>
      </c>
      <c r="D459" s="38"/>
      <c r="E459" s="37">
        <f ca="1"/>
        <v>0</v>
      </c>
      <c r="F459" s="37"/>
    </row>
    <row r="460" spans="1:6" ht="39.049999999999997" customHeight="1">
      <c r="A460" s="29"/>
      <c r="B460" s="36"/>
      <c r="C460" s="37">
        <v>0</v>
      </c>
      <c r="D460" s="38"/>
      <c r="E460" s="37">
        <f ca="1"/>
        <v>0</v>
      </c>
      <c r="F460" s="37"/>
    </row>
    <row r="461" spans="1:6" ht="39.049999999999997" customHeight="1">
      <c r="A461" s="29"/>
      <c r="B461" s="36"/>
      <c r="C461" s="37">
        <v>0</v>
      </c>
      <c r="D461" s="38"/>
      <c r="E461" s="37">
        <f ca="1"/>
        <v>0</v>
      </c>
      <c r="F461" s="37"/>
    </row>
    <row r="462" spans="1:6" ht="39.049999999999997" customHeight="1">
      <c r="A462" s="29"/>
      <c r="B462" s="36"/>
      <c r="C462" s="37">
        <v>0</v>
      </c>
      <c r="D462" s="38"/>
      <c r="E462" s="37">
        <f ca="1"/>
        <v>0</v>
      </c>
      <c r="F462" s="37"/>
    </row>
    <row r="463" spans="1:6" ht="39.049999999999997" customHeight="1">
      <c r="A463" s="29"/>
      <c r="B463" s="36"/>
      <c r="C463" s="37">
        <v>0</v>
      </c>
      <c r="D463" s="38"/>
      <c r="E463" s="37">
        <f ca="1"/>
        <v>0</v>
      </c>
      <c r="F463" s="37"/>
    </row>
    <row r="464" spans="1:6" ht="39.049999999999997" customHeight="1">
      <c r="A464" s="29"/>
      <c r="B464" s="36"/>
      <c r="C464" s="37">
        <v>0</v>
      </c>
      <c r="D464" s="38"/>
      <c r="E464" s="37">
        <f ca="1"/>
        <v>0</v>
      </c>
      <c r="F464" s="37"/>
    </row>
    <row r="465" spans="1:6" ht="39.049999999999997" customHeight="1">
      <c r="A465" s="29"/>
      <c r="B465" s="36"/>
      <c r="C465" s="37">
        <v>0</v>
      </c>
      <c r="D465" s="38"/>
      <c r="E465" s="37">
        <f ca="1"/>
        <v>0</v>
      </c>
      <c r="F465" s="37"/>
    </row>
    <row r="466" spans="1:6" ht="39.049999999999997" customHeight="1">
      <c r="A466" s="29"/>
      <c r="B466" s="36"/>
      <c r="C466" s="37">
        <v>0</v>
      </c>
      <c r="D466" s="38"/>
      <c r="E466" s="37">
        <f ca="1"/>
        <v>0</v>
      </c>
      <c r="F466" s="37"/>
    </row>
    <row r="467" spans="1:6" ht="39.049999999999997" customHeight="1">
      <c r="A467" s="29"/>
      <c r="B467" s="36"/>
      <c r="C467" s="37">
        <v>0</v>
      </c>
      <c r="D467" s="38"/>
      <c r="E467" s="37">
        <f ca="1"/>
        <v>0</v>
      </c>
      <c r="F467" s="37"/>
    </row>
    <row r="468" spans="1:6" ht="39.049999999999997" customHeight="1">
      <c r="A468" s="29"/>
      <c r="B468" s="36"/>
      <c r="C468" s="37">
        <v>0</v>
      </c>
      <c r="D468" s="38"/>
      <c r="E468" s="37">
        <f ca="1"/>
        <v>0</v>
      </c>
      <c r="F468" s="37"/>
    </row>
    <row r="469" spans="1:6" ht="39.049999999999997" customHeight="1">
      <c r="A469" s="29"/>
      <c r="B469" s="36"/>
      <c r="C469" s="37">
        <v>0</v>
      </c>
      <c r="D469" s="38"/>
      <c r="E469" s="37">
        <f ca="1"/>
        <v>0</v>
      </c>
      <c r="F469" s="37"/>
    </row>
    <row r="470" spans="1:6" ht="39.049999999999997" customHeight="1">
      <c r="A470" s="29"/>
      <c r="B470" s="36"/>
      <c r="C470" s="37">
        <v>0</v>
      </c>
      <c r="D470" s="38"/>
      <c r="E470" s="37">
        <f ca="1"/>
        <v>0</v>
      </c>
      <c r="F470" s="37"/>
    </row>
    <row r="471" spans="1:6" ht="39.049999999999997" customHeight="1">
      <c r="A471" s="29"/>
      <c r="B471" s="36"/>
      <c r="C471" s="37">
        <v>0</v>
      </c>
      <c r="D471" s="38"/>
      <c r="E471" s="37">
        <f ca="1"/>
        <v>0</v>
      </c>
      <c r="F471" s="37"/>
    </row>
    <row r="472" spans="1:6" ht="39.049999999999997" customHeight="1">
      <c r="A472" s="29"/>
      <c r="B472" s="36"/>
      <c r="C472" s="37">
        <v>0</v>
      </c>
      <c r="D472" s="38"/>
      <c r="E472" s="37">
        <f ca="1"/>
        <v>0</v>
      </c>
      <c r="F472" s="37"/>
    </row>
    <row r="473" spans="1:6" ht="39.049999999999997" customHeight="1">
      <c r="A473" s="29"/>
      <c r="B473" s="36"/>
      <c r="C473" s="37">
        <v>0</v>
      </c>
      <c r="D473" s="38"/>
      <c r="E473" s="37">
        <f ca="1"/>
        <v>0</v>
      </c>
      <c r="F473" s="37"/>
    </row>
    <row r="474" spans="1:6" ht="39.049999999999997" customHeight="1">
      <c r="A474" s="29"/>
      <c r="B474" s="36"/>
      <c r="C474" s="37">
        <v>0</v>
      </c>
      <c r="D474" s="38"/>
      <c r="E474" s="37">
        <f ca="1"/>
        <v>0</v>
      </c>
      <c r="F474" s="37"/>
    </row>
    <row r="475" spans="1:6" ht="39.049999999999997" customHeight="1">
      <c r="A475" s="29"/>
      <c r="B475" s="36"/>
      <c r="C475" s="37">
        <v>0</v>
      </c>
      <c r="D475" s="38"/>
      <c r="E475" s="37">
        <f ca="1"/>
        <v>0</v>
      </c>
      <c r="F475" s="37"/>
    </row>
    <row r="476" spans="1:6" ht="39.049999999999997" customHeight="1">
      <c r="A476" s="29"/>
      <c r="B476" s="36"/>
      <c r="C476" s="37">
        <v>0</v>
      </c>
      <c r="D476" s="38"/>
      <c r="E476" s="37">
        <f ca="1"/>
        <v>0</v>
      </c>
      <c r="F476" s="37"/>
    </row>
    <row r="477" spans="1:6" ht="39.049999999999997" customHeight="1">
      <c r="A477" s="29"/>
      <c r="B477" s="36"/>
      <c r="C477" s="37">
        <v>0</v>
      </c>
      <c r="D477" s="38"/>
      <c r="E477" s="37">
        <f ca="1"/>
        <v>0</v>
      </c>
      <c r="F477" s="37"/>
    </row>
    <row r="478" spans="1:6" ht="39.049999999999997" customHeight="1">
      <c r="A478" s="29"/>
      <c r="B478" s="36"/>
      <c r="C478" s="37">
        <v>0</v>
      </c>
      <c r="D478" s="38"/>
      <c r="E478" s="37">
        <f ca="1"/>
        <v>0</v>
      </c>
      <c r="F478" s="37"/>
    </row>
    <row r="479" spans="1:6" ht="39.049999999999997" customHeight="1">
      <c r="A479" s="29"/>
      <c r="B479" s="36"/>
      <c r="C479" s="37">
        <v>0</v>
      </c>
      <c r="D479" s="38"/>
      <c r="E479" s="37">
        <f ca="1"/>
        <v>0</v>
      </c>
      <c r="F479" s="37"/>
    </row>
    <row r="480" spans="1:6" ht="39.049999999999997" customHeight="1">
      <c r="A480" s="29"/>
      <c r="B480" s="36"/>
      <c r="C480" s="37">
        <v>0</v>
      </c>
      <c r="D480" s="38"/>
      <c r="E480" s="37">
        <f ca="1"/>
        <v>0</v>
      </c>
      <c r="F480" s="37"/>
    </row>
    <row r="481" spans="1:6" ht="39.049999999999997" customHeight="1">
      <c r="A481" s="29"/>
      <c r="B481" s="36"/>
      <c r="C481" s="37">
        <v>0</v>
      </c>
      <c r="D481" s="38"/>
      <c r="E481" s="37">
        <f ca="1"/>
        <v>0</v>
      </c>
      <c r="F481" s="37"/>
    </row>
    <row r="482" spans="1:6" ht="39.049999999999997" customHeight="1">
      <c r="A482" s="29"/>
      <c r="B482" s="36"/>
      <c r="C482" s="37">
        <v>0</v>
      </c>
      <c r="D482" s="38"/>
      <c r="E482" s="37">
        <f ca="1"/>
        <v>0</v>
      </c>
      <c r="F482" s="37"/>
    </row>
    <row r="483" spans="1:6" ht="39.049999999999997" customHeight="1">
      <c r="A483" s="29"/>
      <c r="B483" s="36"/>
      <c r="C483" s="37">
        <v>0</v>
      </c>
      <c r="D483" s="38"/>
      <c r="E483" s="37">
        <f ca="1"/>
        <v>0</v>
      </c>
      <c r="F483" s="37"/>
    </row>
    <row r="484" spans="1:6" ht="39.049999999999997" customHeight="1">
      <c r="A484" s="29"/>
      <c r="B484" s="36"/>
      <c r="C484" s="37">
        <v>0</v>
      </c>
      <c r="D484" s="38"/>
      <c r="E484" s="37">
        <f ca="1"/>
        <v>0</v>
      </c>
      <c r="F484" s="37"/>
    </row>
    <row r="485" spans="1:6" ht="39.049999999999997" customHeight="1">
      <c r="A485" s="29"/>
      <c r="B485" s="36"/>
      <c r="C485" s="37">
        <v>0</v>
      </c>
      <c r="D485" s="38"/>
      <c r="E485" s="37">
        <f ca="1"/>
        <v>0</v>
      </c>
      <c r="F485" s="37"/>
    </row>
    <row r="486" spans="1:6" ht="39.049999999999997" customHeight="1">
      <c r="A486" s="29"/>
      <c r="B486" s="36"/>
      <c r="C486" s="37">
        <v>0</v>
      </c>
      <c r="D486" s="38"/>
      <c r="E486" s="37">
        <f ca="1"/>
        <v>0</v>
      </c>
      <c r="F486" s="37"/>
    </row>
    <row r="487" spans="1:6" ht="39.049999999999997" customHeight="1">
      <c r="A487" s="29"/>
      <c r="B487" s="36"/>
      <c r="C487" s="37">
        <v>0</v>
      </c>
      <c r="D487" s="38"/>
      <c r="E487" s="37">
        <f ca="1"/>
        <v>0</v>
      </c>
      <c r="F487" s="37"/>
    </row>
    <row r="488" spans="1:6" ht="39.049999999999997" customHeight="1">
      <c r="A488" s="29"/>
      <c r="B488" s="36"/>
      <c r="C488" s="37">
        <v>0</v>
      </c>
      <c r="D488" s="38"/>
      <c r="E488" s="37">
        <f ca="1"/>
        <v>0</v>
      </c>
      <c r="F488" s="37"/>
    </row>
    <row r="489" spans="1:6" ht="39.049999999999997" customHeight="1">
      <c r="A489" s="29"/>
      <c r="B489" s="36"/>
      <c r="C489" s="37">
        <v>0</v>
      </c>
      <c r="D489" s="38"/>
      <c r="E489" s="37">
        <f ca="1"/>
        <v>0</v>
      </c>
      <c r="F489" s="37"/>
    </row>
    <row r="490" spans="1:6" ht="39.049999999999997" customHeight="1">
      <c r="A490" s="29"/>
      <c r="B490" s="36"/>
      <c r="C490" s="37">
        <v>0</v>
      </c>
      <c r="D490" s="38"/>
      <c r="E490" s="37">
        <f ca="1"/>
        <v>0</v>
      </c>
      <c r="F490" s="37"/>
    </row>
    <row r="491" spans="1:6" ht="39.049999999999997" customHeight="1">
      <c r="A491" s="29"/>
      <c r="B491" s="36"/>
      <c r="C491" s="37">
        <v>0</v>
      </c>
      <c r="D491" s="38"/>
      <c r="E491" s="37">
        <f ca="1"/>
        <v>0</v>
      </c>
      <c r="F491" s="37"/>
    </row>
    <row r="492" spans="1:6" ht="39.049999999999997" customHeight="1">
      <c r="A492" s="29"/>
      <c r="B492" s="36"/>
      <c r="C492" s="37">
        <v>0</v>
      </c>
      <c r="D492" s="38"/>
      <c r="E492" s="37">
        <f ca="1"/>
        <v>0</v>
      </c>
      <c r="F492" s="37"/>
    </row>
    <row r="493" spans="1:6" ht="39.049999999999997" customHeight="1">
      <c r="A493" s="29"/>
      <c r="B493" s="36"/>
      <c r="C493" s="37">
        <v>0</v>
      </c>
      <c r="D493" s="38"/>
      <c r="E493" s="37">
        <f ca="1"/>
        <v>0</v>
      </c>
      <c r="F493" s="37"/>
    </row>
    <row r="494" spans="1:6" ht="39.049999999999997" customHeight="1">
      <c r="A494" s="29"/>
      <c r="B494" s="36"/>
      <c r="C494" s="37">
        <v>0</v>
      </c>
      <c r="D494" s="38"/>
      <c r="E494" s="37">
        <f ca="1"/>
        <v>0</v>
      </c>
      <c r="F494" s="37"/>
    </row>
    <row r="495" spans="1:6" ht="39.049999999999997" customHeight="1">
      <c r="A495" s="29"/>
      <c r="B495" s="36"/>
      <c r="C495" s="37">
        <v>0</v>
      </c>
      <c r="D495" s="38"/>
      <c r="E495" s="37">
        <f ca="1"/>
        <v>0</v>
      </c>
      <c r="F495" s="37"/>
    </row>
    <row r="496" spans="1:6" ht="39.049999999999997" customHeight="1">
      <c r="A496" s="29"/>
      <c r="B496" s="36"/>
      <c r="C496" s="37">
        <v>0</v>
      </c>
      <c r="D496" s="38"/>
      <c r="E496" s="37">
        <f ca="1"/>
        <v>0</v>
      </c>
      <c r="F496" s="37"/>
    </row>
    <row r="497" spans="1:6" ht="39.049999999999997" customHeight="1">
      <c r="A497" s="29"/>
      <c r="B497" s="36"/>
      <c r="C497" s="37">
        <v>0</v>
      </c>
      <c r="D497" s="38"/>
      <c r="E497" s="37">
        <f ca="1"/>
        <v>0</v>
      </c>
      <c r="F497" s="37"/>
    </row>
    <row r="498" spans="1:6" ht="39.049999999999997" customHeight="1">
      <c r="A498" s="29"/>
      <c r="B498" s="36"/>
      <c r="C498" s="37">
        <v>0</v>
      </c>
      <c r="D498" s="38"/>
      <c r="E498" s="37">
        <f ca="1"/>
        <v>0</v>
      </c>
      <c r="F498" s="37"/>
    </row>
    <row r="499" spans="1:6" ht="39.049999999999997" customHeight="1">
      <c r="A499" s="29"/>
      <c r="B499" s="36"/>
      <c r="C499" s="37">
        <v>0</v>
      </c>
      <c r="D499" s="38"/>
      <c r="E499" s="37">
        <f ca="1"/>
        <v>0</v>
      </c>
      <c r="F499" s="37"/>
    </row>
    <row r="500" spans="1:6" ht="39.049999999999997" customHeight="1">
      <c r="A500" s="29"/>
      <c r="B500" s="36"/>
      <c r="C500" s="37">
        <v>0</v>
      </c>
      <c r="D500" s="38"/>
      <c r="E500" s="37">
        <f ca="1"/>
        <v>0</v>
      </c>
      <c r="F500" s="37"/>
    </row>
    <row r="501" spans="1:6" ht="39.049999999999997" customHeight="1">
      <c r="A501" s="29"/>
      <c r="B501" s="36"/>
      <c r="C501" s="37">
        <v>0</v>
      </c>
      <c r="D501" s="38"/>
      <c r="E501" s="37">
        <f ca="1"/>
        <v>0</v>
      </c>
      <c r="F501" s="37"/>
    </row>
    <row r="502" spans="1:6" ht="39.049999999999997" customHeight="1">
      <c r="A502" s="29"/>
      <c r="B502" s="36"/>
      <c r="C502" s="37">
        <v>0</v>
      </c>
      <c r="D502" s="38"/>
      <c r="E502" s="37">
        <f ca="1"/>
        <v>0</v>
      </c>
      <c r="F502" s="37"/>
    </row>
    <row r="503" spans="1:6" ht="39.049999999999997" customHeight="1">
      <c r="A503" s="29"/>
      <c r="B503" s="36"/>
      <c r="C503" s="37">
        <v>0</v>
      </c>
      <c r="D503" s="38"/>
      <c r="E503" s="37">
        <f ca="1"/>
        <v>0</v>
      </c>
      <c r="F503" s="37"/>
    </row>
    <row r="504" spans="1:6" ht="39.049999999999997" customHeight="1">
      <c r="A504" s="29"/>
      <c r="B504" s="36"/>
      <c r="C504" s="37">
        <v>0</v>
      </c>
      <c r="D504" s="38"/>
      <c r="E504" s="37">
        <f ca="1"/>
        <v>0</v>
      </c>
      <c r="F504" s="37"/>
    </row>
    <row r="505" spans="1:6" ht="39.049999999999997" customHeight="1">
      <c r="A505" s="29"/>
      <c r="B505" s="36"/>
      <c r="C505" s="37">
        <v>0</v>
      </c>
      <c r="D505" s="38"/>
      <c r="E505" s="37">
        <f ca="1"/>
        <v>0</v>
      </c>
      <c r="F505" s="37"/>
    </row>
    <row r="506" spans="1:6" ht="39.049999999999997" customHeight="1">
      <c r="A506" s="29"/>
      <c r="B506" s="36"/>
      <c r="C506" s="37">
        <v>0</v>
      </c>
      <c r="D506" s="38"/>
      <c r="E506" s="37">
        <f ca="1"/>
        <v>0</v>
      </c>
      <c r="F506" s="37"/>
    </row>
    <row r="507" spans="1:6" ht="39.049999999999997" customHeight="1">
      <c r="A507" s="29"/>
      <c r="B507" s="36"/>
      <c r="C507" s="37">
        <v>0</v>
      </c>
      <c r="D507" s="38"/>
      <c r="E507" s="37">
        <f ca="1"/>
        <v>0</v>
      </c>
      <c r="F507" s="37"/>
    </row>
    <row r="508" spans="1:6" ht="39.049999999999997" customHeight="1">
      <c r="A508" s="29"/>
      <c r="B508" s="36"/>
      <c r="C508" s="37">
        <v>0</v>
      </c>
      <c r="D508" s="38"/>
      <c r="E508" s="37">
        <f ca="1"/>
        <v>0</v>
      </c>
      <c r="F508" s="37"/>
    </row>
    <row r="509" spans="1:6" ht="39.049999999999997" customHeight="1">
      <c r="A509" s="29"/>
      <c r="B509" s="36"/>
      <c r="C509" s="37">
        <v>0</v>
      </c>
      <c r="D509" s="38"/>
      <c r="E509" s="37">
        <f ca="1"/>
        <v>0</v>
      </c>
      <c r="F509" s="37"/>
    </row>
    <row r="510" spans="1:6" ht="39.049999999999997" customHeight="1">
      <c r="A510" s="29"/>
      <c r="B510" s="36"/>
      <c r="C510" s="37">
        <v>0</v>
      </c>
      <c r="D510" s="38"/>
      <c r="E510" s="37">
        <f ca="1"/>
        <v>0</v>
      </c>
      <c r="F510" s="37"/>
    </row>
    <row r="511" spans="1:6" ht="39.049999999999997" customHeight="1">
      <c r="A511" s="29"/>
      <c r="B511" s="36"/>
      <c r="C511" s="37">
        <v>0</v>
      </c>
      <c r="D511" s="38"/>
      <c r="E511" s="37">
        <f ca="1"/>
        <v>0</v>
      </c>
      <c r="F511" s="37"/>
    </row>
    <row r="512" spans="1:6" ht="39.049999999999997" customHeight="1">
      <c r="A512" s="29"/>
      <c r="B512" s="36"/>
      <c r="C512" s="37">
        <v>0</v>
      </c>
      <c r="D512" s="38"/>
      <c r="E512" s="37">
        <f ca="1"/>
        <v>0</v>
      </c>
      <c r="F512" s="37"/>
    </row>
    <row r="513" spans="1:6" ht="39.049999999999997" customHeight="1">
      <c r="A513" s="29"/>
      <c r="B513" s="36"/>
      <c r="C513" s="37">
        <v>0</v>
      </c>
      <c r="D513" s="38"/>
      <c r="E513" s="37">
        <f ca="1"/>
        <v>0</v>
      </c>
      <c r="F513" s="37"/>
    </row>
    <row r="514" spans="1:6" ht="39.049999999999997" customHeight="1">
      <c r="A514" s="29"/>
      <c r="B514" s="36"/>
      <c r="C514" s="37">
        <v>0</v>
      </c>
      <c r="D514" s="38"/>
      <c r="E514" s="37">
        <f ca="1"/>
        <v>0</v>
      </c>
      <c r="F514" s="37"/>
    </row>
    <row r="515" spans="1:6" ht="39.049999999999997" customHeight="1">
      <c r="A515" s="29"/>
      <c r="B515" s="36"/>
      <c r="C515" s="37">
        <v>0</v>
      </c>
      <c r="D515" s="38"/>
      <c r="E515" s="37">
        <f ca="1"/>
        <v>0</v>
      </c>
      <c r="F515" s="37"/>
    </row>
    <row r="516" spans="1:6" ht="39.049999999999997" customHeight="1">
      <c r="A516" s="29"/>
      <c r="B516" s="36"/>
      <c r="C516" s="37">
        <v>0</v>
      </c>
      <c r="D516" s="38"/>
      <c r="E516" s="37">
        <f ca="1"/>
        <v>0</v>
      </c>
      <c r="F516" s="37"/>
    </row>
    <row r="517" spans="1:6" ht="39.049999999999997" customHeight="1">
      <c r="A517" s="29"/>
      <c r="B517" s="36"/>
      <c r="C517" s="37">
        <v>0</v>
      </c>
      <c r="D517" s="38"/>
      <c r="E517" s="37">
        <f ca="1"/>
        <v>0</v>
      </c>
      <c r="F517" s="37"/>
    </row>
    <row r="518" spans="1:6" ht="39.049999999999997" customHeight="1">
      <c r="A518" s="29"/>
      <c r="B518" s="36"/>
      <c r="C518" s="37">
        <v>0</v>
      </c>
      <c r="D518" s="38"/>
      <c r="E518" s="37">
        <f ca="1"/>
        <v>0</v>
      </c>
      <c r="F518" s="37"/>
    </row>
    <row r="519" spans="1:6" ht="39.049999999999997" customHeight="1">
      <c r="A519" s="29"/>
      <c r="B519" s="36"/>
      <c r="C519" s="37">
        <v>0</v>
      </c>
      <c r="D519" s="38"/>
      <c r="E519" s="37">
        <f ca="1"/>
        <v>0</v>
      </c>
      <c r="F519" s="37"/>
    </row>
    <row r="520" spans="1:6" ht="39.049999999999997" customHeight="1">
      <c r="A520" s="29"/>
      <c r="B520" s="36"/>
      <c r="C520" s="37">
        <v>0</v>
      </c>
      <c r="D520" s="38"/>
      <c r="E520" s="37">
        <f ca="1"/>
        <v>0</v>
      </c>
      <c r="F520" s="37"/>
    </row>
    <row r="521" spans="1:6" ht="39.049999999999997" customHeight="1">
      <c r="A521" s="29"/>
      <c r="B521" s="36"/>
      <c r="C521" s="37">
        <v>0</v>
      </c>
      <c r="D521" s="38"/>
      <c r="E521" s="37">
        <f ca="1"/>
        <v>0</v>
      </c>
      <c r="F521" s="37"/>
    </row>
    <row r="522" spans="1:6" ht="39.049999999999997" customHeight="1">
      <c r="A522" s="29"/>
      <c r="B522" s="36"/>
      <c r="C522" s="37">
        <v>0</v>
      </c>
      <c r="D522" s="38"/>
      <c r="E522" s="37">
        <f ca="1"/>
        <v>0</v>
      </c>
      <c r="F522" s="37"/>
    </row>
    <row r="523" spans="1:6" ht="39.049999999999997" customHeight="1">
      <c r="A523" s="29"/>
      <c r="B523" s="36"/>
      <c r="C523" s="37">
        <v>0</v>
      </c>
      <c r="D523" s="38"/>
      <c r="E523" s="37">
        <f ca="1"/>
        <v>0</v>
      </c>
      <c r="F523" s="37"/>
    </row>
    <row r="524" spans="1:6" ht="39.049999999999997" customHeight="1">
      <c r="A524" s="29"/>
      <c r="B524" s="36"/>
      <c r="C524" s="37">
        <v>0</v>
      </c>
      <c r="D524" s="38"/>
      <c r="E524" s="37">
        <f ca="1"/>
        <v>0</v>
      </c>
      <c r="F524" s="37"/>
    </row>
    <row r="525" spans="1:6" ht="39.049999999999997" customHeight="1">
      <c r="A525" s="29"/>
      <c r="B525" s="36"/>
      <c r="C525" s="37">
        <v>0</v>
      </c>
      <c r="D525" s="38"/>
      <c r="E525" s="37">
        <f ca="1"/>
        <v>0</v>
      </c>
      <c r="F525" s="37"/>
    </row>
    <row r="526" spans="1:6" ht="39.049999999999997" customHeight="1">
      <c r="A526" s="29"/>
      <c r="B526" s="36"/>
      <c r="C526" s="37">
        <v>0</v>
      </c>
      <c r="D526" s="38"/>
      <c r="E526" s="37">
        <f ca="1"/>
        <v>0</v>
      </c>
      <c r="F526" s="37"/>
    </row>
    <row r="527" spans="1:6" ht="39.049999999999997" customHeight="1">
      <c r="A527" s="29"/>
      <c r="B527" s="36"/>
      <c r="C527" s="37">
        <v>0</v>
      </c>
      <c r="D527" s="38"/>
      <c r="E527" s="37">
        <f ca="1"/>
        <v>0</v>
      </c>
      <c r="F527" s="37"/>
    </row>
    <row r="528" spans="1:6" ht="39.049999999999997" customHeight="1">
      <c r="A528" s="29"/>
      <c r="B528" s="36"/>
      <c r="C528" s="37">
        <v>0</v>
      </c>
      <c r="D528" s="38"/>
      <c r="E528" s="37">
        <f ca="1"/>
        <v>0</v>
      </c>
      <c r="F528" s="37"/>
    </row>
    <row r="529" spans="1:6" ht="39.049999999999997" customHeight="1">
      <c r="A529" s="29"/>
      <c r="B529" s="36"/>
      <c r="C529" s="37">
        <v>0</v>
      </c>
      <c r="D529" s="38"/>
      <c r="E529" s="37">
        <f ca="1"/>
        <v>0</v>
      </c>
      <c r="F529" s="37"/>
    </row>
    <row r="530" spans="1:6" ht="39.049999999999997" customHeight="1">
      <c r="A530" s="29"/>
      <c r="B530" s="36"/>
      <c r="C530" s="37">
        <v>0</v>
      </c>
      <c r="D530" s="38"/>
      <c r="E530" s="37">
        <f ca="1"/>
        <v>0</v>
      </c>
      <c r="F530" s="37"/>
    </row>
    <row r="531" spans="1:6" ht="39.049999999999997" customHeight="1">
      <c r="A531" s="29"/>
      <c r="B531" s="36"/>
      <c r="C531" s="37">
        <v>0</v>
      </c>
      <c r="D531" s="38"/>
      <c r="E531" s="37">
        <f ca="1"/>
        <v>0</v>
      </c>
      <c r="F531" s="37"/>
    </row>
    <row r="532" spans="1:6" ht="39.049999999999997" customHeight="1">
      <c r="A532" s="29"/>
      <c r="B532" s="36"/>
      <c r="C532" s="37">
        <v>0</v>
      </c>
      <c r="D532" s="38"/>
      <c r="E532" s="37">
        <f ca="1"/>
        <v>0</v>
      </c>
      <c r="F532" s="37"/>
    </row>
    <row r="533" spans="1:6" ht="39.049999999999997" customHeight="1">
      <c r="A533" s="29"/>
      <c r="B533" s="36"/>
      <c r="C533" s="37">
        <v>0</v>
      </c>
      <c r="D533" s="38"/>
      <c r="E533" s="37">
        <f ca="1"/>
        <v>0</v>
      </c>
      <c r="F533" s="37"/>
    </row>
    <row r="534" spans="1:6" ht="39.049999999999997" customHeight="1">
      <c r="A534" s="29"/>
      <c r="B534" s="36"/>
      <c r="C534" s="37">
        <v>0</v>
      </c>
      <c r="D534" s="38"/>
      <c r="E534" s="37">
        <f ca="1"/>
        <v>0</v>
      </c>
      <c r="F534" s="37"/>
    </row>
    <row r="535" spans="1:6" ht="39.049999999999997" customHeight="1">
      <c r="A535" s="29"/>
      <c r="B535" s="36"/>
      <c r="C535" s="37">
        <v>0</v>
      </c>
      <c r="D535" s="38"/>
      <c r="E535" s="37">
        <f ca="1"/>
        <v>0</v>
      </c>
      <c r="F535" s="37"/>
    </row>
    <row r="536" spans="1:6" ht="39.049999999999997" customHeight="1">
      <c r="A536" s="29"/>
      <c r="B536" s="36"/>
      <c r="C536" s="37">
        <v>0</v>
      </c>
      <c r="D536" s="38"/>
      <c r="E536" s="37">
        <f ca="1"/>
        <v>0</v>
      </c>
      <c r="F536" s="37"/>
    </row>
    <row r="537" spans="1:6" ht="39.049999999999997" customHeight="1">
      <c r="A537" s="29"/>
      <c r="B537" s="36"/>
      <c r="C537" s="37">
        <v>0</v>
      </c>
      <c r="D537" s="38"/>
      <c r="E537" s="37">
        <f ca="1"/>
        <v>0</v>
      </c>
      <c r="F537" s="37"/>
    </row>
    <row r="538" spans="1:6" ht="39.049999999999997" customHeight="1">
      <c r="A538" s="29"/>
      <c r="B538" s="36"/>
      <c r="C538" s="37">
        <v>0</v>
      </c>
      <c r="D538" s="38"/>
      <c r="E538" s="37">
        <f ca="1"/>
        <v>0</v>
      </c>
      <c r="F538" s="37"/>
    </row>
    <row r="539" spans="1:6" ht="39.049999999999997" customHeight="1">
      <c r="A539" s="29"/>
      <c r="B539" s="36"/>
      <c r="C539" s="37">
        <v>0</v>
      </c>
      <c r="D539" s="38"/>
      <c r="E539" s="37">
        <f ca="1"/>
        <v>0</v>
      </c>
      <c r="F539" s="37"/>
    </row>
    <row r="540" spans="1:6" ht="39.049999999999997" customHeight="1">
      <c r="A540" s="29"/>
      <c r="B540" s="36"/>
      <c r="C540" s="37">
        <v>0</v>
      </c>
      <c r="D540" s="38"/>
      <c r="E540" s="37">
        <f ca="1"/>
        <v>0</v>
      </c>
      <c r="F540" s="37"/>
    </row>
    <row r="541" spans="1:6" ht="39.049999999999997" customHeight="1">
      <c r="A541" s="29"/>
      <c r="B541" s="36"/>
      <c r="C541" s="37">
        <v>0</v>
      </c>
      <c r="D541" s="38"/>
      <c r="E541" s="37">
        <f ca="1"/>
        <v>0</v>
      </c>
      <c r="F541" s="37"/>
    </row>
    <row r="542" spans="1:6" ht="39.049999999999997" customHeight="1">
      <c r="A542" s="29"/>
      <c r="B542" s="36"/>
      <c r="C542" s="37">
        <v>0</v>
      </c>
      <c r="D542" s="38"/>
      <c r="E542" s="37">
        <f ca="1"/>
        <v>0</v>
      </c>
      <c r="F542" s="37"/>
    </row>
    <row r="543" spans="1:6" ht="39.049999999999997" customHeight="1">
      <c r="A543" s="29"/>
      <c r="B543" s="36"/>
      <c r="C543" s="37">
        <v>0</v>
      </c>
      <c r="D543" s="38"/>
      <c r="E543" s="37">
        <f ca="1"/>
        <v>0</v>
      </c>
      <c r="F543" s="37"/>
    </row>
    <row r="544" spans="1:6" ht="39.049999999999997" customHeight="1">
      <c r="A544" s="29"/>
      <c r="B544" s="36"/>
      <c r="C544" s="37">
        <v>0</v>
      </c>
      <c r="D544" s="38"/>
      <c r="E544" s="37">
        <f ca="1"/>
        <v>0</v>
      </c>
      <c r="F544" s="37"/>
    </row>
    <row r="545" spans="1:6" ht="39.049999999999997" customHeight="1">
      <c r="A545" s="29"/>
      <c r="B545" s="36"/>
      <c r="C545" s="37">
        <v>0</v>
      </c>
      <c r="D545" s="38"/>
      <c r="E545" s="37">
        <f ca="1"/>
        <v>0</v>
      </c>
      <c r="F545" s="37"/>
    </row>
    <row r="546" spans="1:6" ht="39.049999999999997" customHeight="1">
      <c r="A546" s="29"/>
      <c r="B546" s="36"/>
      <c r="C546" s="37">
        <v>0</v>
      </c>
      <c r="D546" s="38"/>
      <c r="E546" s="37">
        <f ca="1"/>
        <v>0</v>
      </c>
      <c r="F546" s="37"/>
    </row>
    <row r="547" spans="1:6" ht="39.049999999999997" customHeight="1">
      <c r="A547" s="29"/>
      <c r="B547" s="36"/>
      <c r="C547" s="37">
        <v>0</v>
      </c>
      <c r="D547" s="38"/>
      <c r="E547" s="37">
        <f ca="1"/>
        <v>0</v>
      </c>
      <c r="F547" s="37"/>
    </row>
    <row r="548" spans="1:6" ht="39.049999999999997" customHeight="1">
      <c r="A548" s="29"/>
      <c r="B548" s="36"/>
      <c r="C548" s="37">
        <v>0</v>
      </c>
      <c r="D548" s="38"/>
      <c r="E548" s="37">
        <f ca="1"/>
        <v>0</v>
      </c>
      <c r="F548" s="37"/>
    </row>
    <row r="549" spans="1:6" ht="39.049999999999997" customHeight="1">
      <c r="A549" s="29"/>
      <c r="B549" s="36"/>
      <c r="C549" s="37">
        <v>0</v>
      </c>
      <c r="D549" s="38"/>
      <c r="E549" s="37">
        <f ca="1"/>
        <v>0</v>
      </c>
      <c r="F549" s="37"/>
    </row>
    <row r="550" spans="1:6" ht="39.049999999999997" customHeight="1">
      <c r="A550" s="29"/>
      <c r="B550" s="36"/>
      <c r="C550" s="37">
        <v>0</v>
      </c>
      <c r="D550" s="38"/>
      <c r="E550" s="37">
        <f ca="1"/>
        <v>0</v>
      </c>
      <c r="F550" s="37"/>
    </row>
    <row r="551" spans="1:6" ht="39.049999999999997" customHeight="1">
      <c r="A551" s="29"/>
      <c r="B551" s="36"/>
      <c r="C551" s="37">
        <v>0</v>
      </c>
      <c r="D551" s="38"/>
      <c r="E551" s="37">
        <f ca="1"/>
        <v>0</v>
      </c>
      <c r="F551" s="37"/>
    </row>
    <row r="552" spans="1:6" ht="39.049999999999997" customHeight="1">
      <c r="A552" s="29"/>
      <c r="B552" s="36"/>
      <c r="C552" s="37">
        <v>0</v>
      </c>
      <c r="D552" s="38"/>
      <c r="E552" s="37">
        <f ca="1"/>
        <v>0</v>
      </c>
      <c r="F552" s="37"/>
    </row>
    <row r="553" spans="1:6" ht="39.049999999999997" customHeight="1">
      <c r="A553" s="29"/>
      <c r="B553" s="36"/>
      <c r="C553" s="37">
        <v>0</v>
      </c>
      <c r="D553" s="38"/>
      <c r="E553" s="37">
        <f ca="1"/>
        <v>0</v>
      </c>
      <c r="F553" s="37"/>
    </row>
    <row r="554" spans="1:6" ht="39.049999999999997" customHeight="1">
      <c r="A554" s="29"/>
      <c r="B554" s="36"/>
      <c r="C554" s="37">
        <v>0</v>
      </c>
      <c r="D554" s="38"/>
      <c r="E554" s="37">
        <f ca="1"/>
        <v>0</v>
      </c>
      <c r="F554" s="37"/>
    </row>
    <row r="555" spans="1:6" ht="39.049999999999997" customHeight="1">
      <c r="A555" s="29"/>
      <c r="B555" s="36"/>
      <c r="C555" s="37">
        <v>0</v>
      </c>
      <c r="D555" s="38"/>
      <c r="E555" s="37">
        <f ca="1"/>
        <v>0</v>
      </c>
      <c r="F555" s="37"/>
    </row>
    <row r="556" spans="1:6" ht="39.049999999999997" customHeight="1">
      <c r="A556" s="29"/>
      <c r="B556" s="36"/>
      <c r="C556" s="37">
        <v>0</v>
      </c>
      <c r="D556" s="38"/>
      <c r="E556" s="37">
        <f ca="1"/>
        <v>0</v>
      </c>
      <c r="F556" s="37"/>
    </row>
    <row r="557" spans="1:6" ht="39.049999999999997" customHeight="1">
      <c r="A557" s="29"/>
      <c r="B557" s="36"/>
      <c r="C557" s="37">
        <v>0</v>
      </c>
      <c r="D557" s="38"/>
      <c r="E557" s="37">
        <f ca="1"/>
        <v>0</v>
      </c>
      <c r="F557" s="37"/>
    </row>
    <row r="558" spans="1:6" ht="39.049999999999997" customHeight="1">
      <c r="A558" s="29"/>
      <c r="B558" s="36"/>
      <c r="C558" s="37">
        <v>0</v>
      </c>
      <c r="D558" s="38"/>
      <c r="E558" s="37">
        <f ca="1"/>
        <v>0</v>
      </c>
      <c r="F558" s="37"/>
    </row>
    <row r="559" spans="1:6" ht="39.049999999999997" customHeight="1">
      <c r="A559" s="29"/>
      <c r="B559" s="36"/>
      <c r="C559" s="37">
        <v>0</v>
      </c>
      <c r="D559" s="38"/>
      <c r="E559" s="37">
        <f ca="1"/>
        <v>0</v>
      </c>
      <c r="F559" s="37"/>
    </row>
    <row r="560" spans="1:6" ht="39.049999999999997" customHeight="1">
      <c r="A560" s="29"/>
      <c r="B560" s="36"/>
      <c r="C560" s="37">
        <v>0</v>
      </c>
      <c r="D560" s="38"/>
      <c r="E560" s="37">
        <f ca="1"/>
        <v>0</v>
      </c>
      <c r="F560" s="37"/>
    </row>
    <row r="561" spans="1:6" ht="39.049999999999997" customHeight="1">
      <c r="A561" s="29"/>
      <c r="B561" s="36"/>
      <c r="C561" s="37">
        <v>0</v>
      </c>
      <c r="D561" s="38"/>
      <c r="E561" s="37">
        <f ca="1"/>
        <v>0</v>
      </c>
      <c r="F561" s="37"/>
    </row>
    <row r="562" spans="1:6" ht="39.049999999999997" customHeight="1">
      <c r="A562" s="29"/>
      <c r="B562" s="36"/>
      <c r="C562" s="37">
        <v>0</v>
      </c>
      <c r="D562" s="38"/>
      <c r="E562" s="37">
        <f ca="1"/>
        <v>0</v>
      </c>
      <c r="F562" s="37"/>
    </row>
    <row r="563" spans="1:6" ht="39.049999999999997" customHeight="1">
      <c r="A563" s="29"/>
      <c r="B563" s="36"/>
      <c r="C563" s="37">
        <v>0</v>
      </c>
      <c r="D563" s="38"/>
      <c r="E563" s="37">
        <f ca="1"/>
        <v>0</v>
      </c>
      <c r="F563" s="37"/>
    </row>
    <row r="564" spans="1:6" ht="39.049999999999997" customHeight="1">
      <c r="A564" s="29"/>
      <c r="B564" s="36"/>
      <c r="C564" s="37">
        <v>0</v>
      </c>
      <c r="D564" s="38"/>
      <c r="E564" s="37">
        <f ca="1"/>
        <v>0</v>
      </c>
      <c r="F564" s="37"/>
    </row>
    <row r="565" spans="1:6" ht="39.049999999999997" customHeight="1">
      <c r="A565" s="29"/>
      <c r="B565" s="36"/>
      <c r="C565" s="37">
        <v>0</v>
      </c>
      <c r="D565" s="38"/>
      <c r="E565" s="37">
        <f ca="1"/>
        <v>0</v>
      </c>
      <c r="F565" s="37"/>
    </row>
    <row r="566" spans="1:6" ht="39.049999999999997" customHeight="1">
      <c r="A566" s="29"/>
      <c r="B566" s="36"/>
      <c r="C566" s="37">
        <v>0</v>
      </c>
      <c r="D566" s="38"/>
      <c r="E566" s="37">
        <f ca="1"/>
        <v>0</v>
      </c>
      <c r="F566" s="37"/>
    </row>
    <row r="567" spans="1:6" ht="39.049999999999997" customHeight="1">
      <c r="A567" s="29"/>
      <c r="B567" s="36"/>
      <c r="C567" s="37">
        <v>0</v>
      </c>
      <c r="D567" s="38"/>
      <c r="E567" s="37">
        <f ca="1"/>
        <v>0</v>
      </c>
      <c r="F567" s="37"/>
    </row>
    <row r="568" spans="1:6" ht="39.049999999999997" customHeight="1">
      <c r="A568" s="29"/>
      <c r="B568" s="36"/>
      <c r="C568" s="37">
        <v>0</v>
      </c>
      <c r="D568" s="38"/>
      <c r="E568" s="37">
        <f ca="1"/>
        <v>0</v>
      </c>
      <c r="F568" s="37"/>
    </row>
    <row r="569" spans="1:6" ht="39.049999999999997" customHeight="1">
      <c r="A569" s="29"/>
      <c r="B569" s="36"/>
      <c r="C569" s="37">
        <v>0</v>
      </c>
      <c r="D569" s="38"/>
      <c r="E569" s="37">
        <f ca="1"/>
        <v>0</v>
      </c>
      <c r="F569" s="37"/>
    </row>
    <row r="570" spans="1:6" ht="39.049999999999997" customHeight="1">
      <c r="A570" s="29"/>
      <c r="B570" s="36"/>
      <c r="C570" s="37">
        <v>0</v>
      </c>
      <c r="D570" s="38"/>
      <c r="E570" s="37">
        <f ca="1"/>
        <v>0</v>
      </c>
      <c r="F570" s="37"/>
    </row>
    <row r="571" spans="1:6" ht="39.049999999999997" customHeight="1">
      <c r="A571" s="29"/>
      <c r="B571" s="36"/>
      <c r="C571" s="37">
        <v>0</v>
      </c>
      <c r="D571" s="38"/>
      <c r="E571" s="37">
        <f ca="1"/>
        <v>0</v>
      </c>
      <c r="F571" s="37"/>
    </row>
    <row r="572" spans="1:6" ht="39.049999999999997" customHeight="1">
      <c r="A572" s="29"/>
      <c r="B572" s="36"/>
      <c r="C572" s="37">
        <v>0</v>
      </c>
      <c r="D572" s="38"/>
      <c r="E572" s="37">
        <f ca="1"/>
        <v>0</v>
      </c>
      <c r="F572" s="37"/>
    </row>
    <row r="573" spans="1:6" ht="39.049999999999997" customHeight="1">
      <c r="A573" s="29"/>
      <c r="B573" s="36"/>
      <c r="C573" s="37">
        <v>0</v>
      </c>
      <c r="D573" s="38"/>
      <c r="E573" s="37">
        <f ca="1"/>
        <v>0</v>
      </c>
      <c r="F573" s="37"/>
    </row>
    <row r="574" spans="1:6" ht="39.049999999999997" customHeight="1">
      <c r="A574" s="29"/>
      <c r="B574" s="36"/>
      <c r="C574" s="37">
        <v>0</v>
      </c>
      <c r="D574" s="38"/>
      <c r="E574" s="37">
        <f ca="1"/>
        <v>0</v>
      </c>
      <c r="F574" s="37"/>
    </row>
    <row r="575" spans="1:6" ht="39.049999999999997" customHeight="1">
      <c r="A575" s="29"/>
      <c r="B575" s="36"/>
      <c r="C575" s="37">
        <v>0</v>
      </c>
      <c r="D575" s="38"/>
      <c r="E575" s="37">
        <f ca="1"/>
        <v>0</v>
      </c>
      <c r="F575" s="37"/>
    </row>
    <row r="576" spans="1:6" ht="39.049999999999997" customHeight="1">
      <c r="A576" s="29"/>
      <c r="B576" s="36"/>
      <c r="C576" s="37">
        <v>0</v>
      </c>
      <c r="D576" s="38"/>
      <c r="E576" s="37">
        <f ca="1"/>
        <v>0</v>
      </c>
      <c r="F576" s="37"/>
    </row>
    <row r="577" spans="1:6" ht="39.049999999999997" customHeight="1">
      <c r="A577" s="29"/>
      <c r="B577" s="36"/>
      <c r="C577" s="37">
        <v>0</v>
      </c>
      <c r="D577" s="38"/>
      <c r="E577" s="37">
        <f ca="1"/>
        <v>0</v>
      </c>
      <c r="F577" s="37"/>
    </row>
    <row r="578" spans="1:6" ht="39.049999999999997" customHeight="1">
      <c r="A578" s="29"/>
      <c r="B578" s="36"/>
      <c r="C578" s="37">
        <v>0</v>
      </c>
      <c r="D578" s="38"/>
      <c r="E578" s="37">
        <f ca="1"/>
        <v>0</v>
      </c>
      <c r="F578" s="37"/>
    </row>
    <row r="579" spans="1:6" ht="39.049999999999997" customHeight="1">
      <c r="A579" s="29"/>
      <c r="B579" s="36"/>
      <c r="C579" s="37">
        <v>0</v>
      </c>
      <c r="D579" s="38"/>
      <c r="E579" s="37">
        <f ca="1"/>
        <v>0</v>
      </c>
      <c r="F579" s="37"/>
    </row>
    <row r="580" spans="1:6" ht="39.049999999999997" customHeight="1">
      <c r="A580" s="29"/>
      <c r="B580" s="36"/>
      <c r="C580" s="37">
        <v>0</v>
      </c>
      <c r="D580" s="38"/>
      <c r="E580" s="37">
        <f ca="1"/>
        <v>0</v>
      </c>
      <c r="F580" s="37"/>
    </row>
    <row r="581" spans="1:6" ht="39.049999999999997" customHeight="1">
      <c r="A581" s="29"/>
      <c r="B581" s="36"/>
      <c r="C581" s="37">
        <v>0</v>
      </c>
      <c r="D581" s="38"/>
      <c r="E581" s="37">
        <f ca="1"/>
        <v>0</v>
      </c>
      <c r="F581" s="37"/>
    </row>
    <row r="582" spans="1:6" ht="39.049999999999997" customHeight="1">
      <c r="A582" s="29"/>
      <c r="B582" s="36"/>
      <c r="C582" s="37">
        <v>0</v>
      </c>
      <c r="D582" s="38"/>
      <c r="E582" s="37">
        <f ca="1"/>
        <v>0</v>
      </c>
      <c r="F582" s="37"/>
    </row>
    <row r="583" spans="1:6" ht="39.049999999999997" customHeight="1">
      <c r="A583" s="29"/>
      <c r="B583" s="36"/>
      <c r="C583" s="37">
        <v>0</v>
      </c>
      <c r="D583" s="38"/>
      <c r="E583" s="37">
        <f ca="1"/>
        <v>0</v>
      </c>
      <c r="F583" s="37"/>
    </row>
    <row r="584" spans="1:6" ht="39.049999999999997" customHeight="1">
      <c r="A584" s="29"/>
      <c r="B584" s="36"/>
      <c r="C584" s="37">
        <v>0</v>
      </c>
      <c r="D584" s="38"/>
      <c r="E584" s="37">
        <f ca="1"/>
        <v>0</v>
      </c>
      <c r="F584" s="37"/>
    </row>
    <row r="585" spans="1:6" ht="39.049999999999997" customHeight="1">
      <c r="A585" s="29"/>
      <c r="B585" s="36"/>
      <c r="C585" s="37">
        <v>0</v>
      </c>
      <c r="D585" s="38"/>
      <c r="E585" s="37">
        <f ca="1"/>
        <v>0</v>
      </c>
      <c r="F585" s="37"/>
    </row>
    <row r="586" spans="1:6" ht="39.049999999999997" customHeight="1">
      <c r="A586" s="29"/>
      <c r="B586" s="36"/>
      <c r="C586" s="37">
        <v>0</v>
      </c>
      <c r="D586" s="38"/>
      <c r="E586" s="37">
        <f ca="1"/>
        <v>0</v>
      </c>
      <c r="F586" s="37"/>
    </row>
    <row r="587" spans="1:6" ht="39.049999999999997" customHeight="1">
      <c r="A587" s="29"/>
      <c r="B587" s="36"/>
      <c r="C587" s="37">
        <v>0</v>
      </c>
      <c r="D587" s="38"/>
      <c r="E587" s="37">
        <f ca="1"/>
        <v>0</v>
      </c>
      <c r="F587" s="37"/>
    </row>
    <row r="588" spans="1:6" ht="39.049999999999997" customHeight="1">
      <c r="A588" s="29"/>
      <c r="B588" s="36"/>
      <c r="C588" s="37">
        <v>0</v>
      </c>
      <c r="D588" s="38"/>
      <c r="E588" s="37">
        <f ca="1"/>
        <v>0</v>
      </c>
      <c r="F588" s="37"/>
    </row>
    <row r="589" spans="1:6" ht="39.049999999999997" customHeight="1">
      <c r="A589" s="29"/>
      <c r="B589" s="36"/>
      <c r="C589" s="37">
        <v>0</v>
      </c>
      <c r="D589" s="38"/>
      <c r="E589" s="37">
        <f ca="1"/>
        <v>0</v>
      </c>
      <c r="F589" s="37"/>
    </row>
    <row r="590" spans="1:6" ht="39.049999999999997" customHeight="1">
      <c r="A590" s="29"/>
      <c r="B590" s="36"/>
      <c r="C590" s="37">
        <v>0</v>
      </c>
      <c r="D590" s="38"/>
      <c r="E590" s="37">
        <f ca="1"/>
        <v>0</v>
      </c>
      <c r="F590" s="37"/>
    </row>
    <row r="591" spans="1:6" ht="39.049999999999997" customHeight="1">
      <c r="A591" s="29"/>
      <c r="B591" s="36"/>
      <c r="C591" s="37">
        <v>0</v>
      </c>
      <c r="D591" s="38"/>
      <c r="E591" s="37">
        <f ca="1"/>
        <v>0</v>
      </c>
      <c r="F591" s="37"/>
    </row>
    <row r="592" spans="1:6" ht="39.049999999999997" customHeight="1">
      <c r="A592" s="29"/>
      <c r="B592" s="36"/>
      <c r="C592" s="37">
        <v>0</v>
      </c>
      <c r="D592" s="38"/>
      <c r="E592" s="37">
        <f ca="1"/>
        <v>0</v>
      </c>
      <c r="F592" s="37"/>
    </row>
    <row r="593" spans="1:6" ht="39.049999999999997" customHeight="1">
      <c r="A593" s="29"/>
      <c r="B593" s="36"/>
      <c r="C593" s="37">
        <v>0</v>
      </c>
      <c r="D593" s="38"/>
      <c r="E593" s="37">
        <f ca="1"/>
        <v>0</v>
      </c>
      <c r="F593" s="37"/>
    </row>
    <row r="594" spans="1:6" ht="39.049999999999997" customHeight="1">
      <c r="A594" s="29"/>
      <c r="B594" s="36"/>
      <c r="C594" s="37">
        <v>0</v>
      </c>
      <c r="D594" s="38"/>
      <c r="E594" s="37">
        <f ca="1"/>
        <v>0</v>
      </c>
      <c r="F594" s="37"/>
    </row>
    <row r="595" spans="1:6" ht="39.049999999999997" customHeight="1">
      <c r="A595" s="29"/>
      <c r="B595" s="36"/>
      <c r="C595" s="37">
        <v>0</v>
      </c>
      <c r="D595" s="38"/>
      <c r="E595" s="37">
        <f ca="1"/>
        <v>0</v>
      </c>
      <c r="F595" s="37"/>
    </row>
    <row r="596" spans="1:6" ht="39.049999999999997" customHeight="1">
      <c r="A596" s="29"/>
      <c r="B596" s="36"/>
      <c r="C596" s="37">
        <v>0</v>
      </c>
      <c r="D596" s="38"/>
      <c r="E596" s="37">
        <f ca="1"/>
        <v>0</v>
      </c>
      <c r="F596" s="37"/>
    </row>
    <row r="597" spans="1:6" ht="39.049999999999997" customHeight="1">
      <c r="A597" s="29"/>
      <c r="B597" s="36"/>
      <c r="C597" s="37">
        <v>0</v>
      </c>
      <c r="D597" s="38"/>
      <c r="E597" s="37">
        <f ca="1"/>
        <v>0</v>
      </c>
      <c r="F597" s="37"/>
    </row>
    <row r="598" spans="1:6" ht="39.049999999999997" customHeight="1">
      <c r="A598" s="29"/>
      <c r="B598" s="36"/>
      <c r="C598" s="37">
        <v>0</v>
      </c>
      <c r="D598" s="38"/>
      <c r="E598" s="37">
        <f ca="1"/>
        <v>0</v>
      </c>
      <c r="F598" s="37"/>
    </row>
    <row r="599" spans="1:6" ht="39.049999999999997" customHeight="1">
      <c r="A599" s="29"/>
      <c r="B599" s="36"/>
      <c r="C599" s="37">
        <v>0</v>
      </c>
      <c r="D599" s="38"/>
      <c r="E599" s="37">
        <f ca="1"/>
        <v>0</v>
      </c>
      <c r="F599" s="37"/>
    </row>
    <row r="600" spans="1:6" ht="39.049999999999997" customHeight="1">
      <c r="A600" s="29"/>
      <c r="B600" s="36"/>
      <c r="C600" s="37">
        <v>0</v>
      </c>
      <c r="D600" s="38"/>
      <c r="E600" s="37">
        <f ca="1"/>
        <v>0</v>
      </c>
      <c r="F600" s="37"/>
    </row>
    <row r="601" spans="1:6" ht="39.049999999999997" customHeight="1">
      <c r="A601" s="29"/>
      <c r="B601" s="36"/>
      <c r="C601" s="37">
        <v>0</v>
      </c>
      <c r="D601" s="38"/>
      <c r="E601" s="37">
        <f ca="1"/>
        <v>0</v>
      </c>
      <c r="F601" s="37"/>
    </row>
    <row r="602" spans="1:6" ht="39.049999999999997" customHeight="1">
      <c r="A602" s="29"/>
      <c r="B602" s="36"/>
      <c r="C602" s="37">
        <v>0</v>
      </c>
      <c r="D602" s="38"/>
      <c r="E602" s="37">
        <f ca="1"/>
        <v>0</v>
      </c>
      <c r="F602" s="37"/>
    </row>
    <row r="603" spans="1:6" ht="39.049999999999997" customHeight="1">
      <c r="A603" s="29"/>
      <c r="B603" s="36"/>
      <c r="C603" s="37">
        <v>0</v>
      </c>
      <c r="D603" s="38"/>
      <c r="E603" s="37">
        <f ca="1"/>
        <v>0</v>
      </c>
      <c r="F603" s="37"/>
    </row>
    <row r="604" spans="1:6" ht="39.049999999999997" customHeight="1">
      <c r="A604" s="29"/>
      <c r="B604" s="36"/>
      <c r="C604" s="37">
        <v>0</v>
      </c>
      <c r="D604" s="38"/>
      <c r="E604" s="37">
        <f ca="1"/>
        <v>0</v>
      </c>
      <c r="F604" s="37"/>
    </row>
    <row r="605" spans="1:6" ht="39.049999999999997" customHeight="1">
      <c r="A605" s="29"/>
      <c r="B605" s="36"/>
      <c r="C605" s="37">
        <v>0</v>
      </c>
      <c r="D605" s="38"/>
      <c r="E605" s="37">
        <f ca="1"/>
        <v>0</v>
      </c>
      <c r="F605" s="37"/>
    </row>
    <row r="606" spans="1:6" ht="39.049999999999997" customHeight="1">
      <c r="A606" s="29"/>
      <c r="B606" s="36"/>
      <c r="C606" s="37">
        <v>0</v>
      </c>
      <c r="D606" s="38"/>
      <c r="E606" s="37">
        <f ca="1"/>
        <v>0</v>
      </c>
      <c r="F606" s="37"/>
    </row>
    <row r="607" spans="1:6" ht="39.049999999999997" customHeight="1">
      <c r="A607" s="29"/>
      <c r="B607" s="36"/>
      <c r="C607" s="37">
        <v>0</v>
      </c>
      <c r="D607" s="38"/>
      <c r="E607" s="37">
        <f ca="1"/>
        <v>0</v>
      </c>
      <c r="F607" s="37"/>
    </row>
    <row r="608" spans="1:6" ht="39.049999999999997" customHeight="1">
      <c r="A608" s="29"/>
      <c r="B608" s="36"/>
      <c r="C608" s="37">
        <v>0</v>
      </c>
      <c r="D608" s="38"/>
      <c r="E608" s="37">
        <f ca="1"/>
        <v>0</v>
      </c>
      <c r="F608" s="37"/>
    </row>
    <row r="609" spans="1:6" ht="39.049999999999997" customHeight="1">
      <c r="A609" s="29"/>
      <c r="B609" s="36"/>
      <c r="C609" s="37">
        <v>0</v>
      </c>
      <c r="D609" s="38"/>
      <c r="E609" s="37">
        <f ca="1"/>
        <v>0</v>
      </c>
      <c r="F609" s="37"/>
    </row>
    <row r="610" spans="1:6" ht="39.049999999999997" customHeight="1">
      <c r="A610" s="29"/>
      <c r="B610" s="36"/>
      <c r="C610" s="37">
        <v>0</v>
      </c>
      <c r="D610" s="38"/>
      <c r="E610" s="37">
        <f ca="1"/>
        <v>0</v>
      </c>
      <c r="F610" s="37"/>
    </row>
    <row r="611" spans="1:6" ht="39.049999999999997" customHeight="1">
      <c r="A611" s="29"/>
      <c r="B611" s="36"/>
      <c r="C611" s="37">
        <v>0</v>
      </c>
      <c r="D611" s="38"/>
      <c r="E611" s="37">
        <f ca="1"/>
        <v>0</v>
      </c>
      <c r="F611" s="37"/>
    </row>
    <row r="612" spans="1:6" ht="39.049999999999997" customHeight="1">
      <c r="A612" s="29"/>
      <c r="B612" s="36"/>
      <c r="C612" s="37">
        <v>0</v>
      </c>
      <c r="D612" s="38"/>
      <c r="E612" s="37">
        <f ca="1"/>
        <v>0</v>
      </c>
      <c r="F612" s="37"/>
    </row>
    <row r="613" spans="1:6" ht="39.049999999999997" customHeight="1">
      <c r="A613" s="29"/>
      <c r="B613" s="36"/>
      <c r="C613" s="37">
        <v>0</v>
      </c>
      <c r="D613" s="38"/>
      <c r="E613" s="37">
        <f ca="1"/>
        <v>0</v>
      </c>
      <c r="F613" s="37"/>
    </row>
    <row r="614" spans="1:6" ht="39.049999999999997" customHeight="1">
      <c r="A614" s="29"/>
      <c r="B614" s="36"/>
      <c r="C614" s="37">
        <v>0</v>
      </c>
      <c r="D614" s="38"/>
      <c r="E614" s="37">
        <f ca="1"/>
        <v>0</v>
      </c>
      <c r="F614" s="37"/>
    </row>
    <row r="615" spans="1:6" ht="39.049999999999997" customHeight="1">
      <c r="A615" s="29"/>
      <c r="B615" s="36"/>
      <c r="C615" s="37">
        <v>0</v>
      </c>
      <c r="D615" s="38"/>
      <c r="E615" s="37">
        <f ca="1"/>
        <v>0</v>
      </c>
      <c r="F615" s="37"/>
    </row>
    <row r="616" spans="1:6" ht="39.049999999999997" customHeight="1">
      <c r="A616" s="29"/>
      <c r="B616" s="36"/>
      <c r="C616" s="37">
        <v>0</v>
      </c>
      <c r="D616" s="38"/>
      <c r="E616" s="37">
        <f ca="1"/>
        <v>0</v>
      </c>
      <c r="F616" s="37"/>
    </row>
    <row r="617" spans="1:6" ht="39.049999999999997" customHeight="1">
      <c r="A617" s="29"/>
      <c r="B617" s="36"/>
      <c r="C617" s="37">
        <v>0</v>
      </c>
      <c r="D617" s="38"/>
      <c r="E617" s="37">
        <f ca="1"/>
        <v>0</v>
      </c>
      <c r="F617" s="37"/>
    </row>
    <row r="618" spans="1:6" ht="39.049999999999997" customHeight="1">
      <c r="A618" s="29"/>
      <c r="B618" s="36"/>
      <c r="C618" s="37">
        <v>0</v>
      </c>
      <c r="D618" s="38"/>
      <c r="E618" s="37">
        <f ca="1"/>
        <v>0</v>
      </c>
      <c r="F618" s="37"/>
    </row>
    <row r="619" spans="1:6" ht="39.049999999999997" customHeight="1">
      <c r="A619" s="29"/>
      <c r="B619" s="36"/>
      <c r="C619" s="37">
        <v>0</v>
      </c>
      <c r="D619" s="38"/>
      <c r="E619" s="37">
        <f ca="1"/>
        <v>0</v>
      </c>
      <c r="F619" s="37"/>
    </row>
    <row r="620" spans="1:6" ht="39.049999999999997" customHeight="1">
      <c r="A620" s="29"/>
      <c r="B620" s="36"/>
      <c r="C620" s="37">
        <v>0</v>
      </c>
      <c r="D620" s="38"/>
      <c r="E620" s="37">
        <f ca="1"/>
        <v>0</v>
      </c>
      <c r="F620" s="37"/>
    </row>
    <row r="621" spans="1:6" ht="39.049999999999997" customHeight="1">
      <c r="A621" s="29"/>
      <c r="B621" s="36"/>
      <c r="C621" s="37">
        <v>0</v>
      </c>
      <c r="D621" s="38"/>
      <c r="E621" s="37">
        <f ca="1"/>
        <v>0</v>
      </c>
      <c r="F621" s="37"/>
    </row>
    <row r="622" spans="1:6" ht="39.049999999999997" customHeight="1">
      <c r="A622" s="29"/>
      <c r="B622" s="36"/>
      <c r="C622" s="37">
        <v>0</v>
      </c>
      <c r="D622" s="38"/>
      <c r="E622" s="37">
        <f ca="1"/>
        <v>0</v>
      </c>
      <c r="F622" s="37"/>
    </row>
    <row r="623" spans="1:6" ht="39.049999999999997" customHeight="1">
      <c r="A623" s="29"/>
      <c r="B623" s="36"/>
      <c r="C623" s="37">
        <v>0</v>
      </c>
      <c r="D623" s="38"/>
      <c r="E623" s="37">
        <f ca="1"/>
        <v>0</v>
      </c>
      <c r="F623" s="37"/>
    </row>
    <row r="624" spans="1:6" ht="39.049999999999997" customHeight="1">
      <c r="A624" s="29"/>
      <c r="B624" s="36"/>
      <c r="C624" s="37">
        <v>0</v>
      </c>
      <c r="D624" s="38"/>
      <c r="E624" s="37">
        <f ca="1"/>
        <v>0</v>
      </c>
      <c r="F624" s="37"/>
    </row>
    <row r="625" spans="1:6" ht="39.049999999999997" customHeight="1">
      <c r="A625" s="29"/>
      <c r="B625" s="36"/>
      <c r="C625" s="37">
        <v>0</v>
      </c>
      <c r="D625" s="38"/>
      <c r="E625" s="37">
        <f ca="1"/>
        <v>0</v>
      </c>
      <c r="F625" s="37"/>
    </row>
    <row r="626" spans="1:6" ht="39.049999999999997" customHeight="1">
      <c r="A626" s="29"/>
      <c r="B626" s="36"/>
      <c r="C626" s="37">
        <v>0</v>
      </c>
      <c r="D626" s="38"/>
      <c r="E626" s="37">
        <f ca="1"/>
        <v>0</v>
      </c>
      <c r="F626" s="37"/>
    </row>
    <row r="627" spans="1:6" ht="39.049999999999997" customHeight="1">
      <c r="A627" s="29"/>
      <c r="B627" s="36"/>
      <c r="C627" s="37">
        <v>0</v>
      </c>
      <c r="D627" s="38"/>
      <c r="E627" s="37">
        <f ca="1"/>
        <v>0</v>
      </c>
      <c r="F627" s="37"/>
    </row>
    <row r="628" spans="1:6" ht="39.049999999999997" customHeight="1">
      <c r="A628" s="29"/>
      <c r="B628" s="36"/>
      <c r="C628" s="37">
        <v>0</v>
      </c>
      <c r="D628" s="38"/>
      <c r="E628" s="37">
        <f ca="1"/>
        <v>0</v>
      </c>
      <c r="F628" s="37"/>
    </row>
    <row r="629" spans="1:6" ht="39.049999999999997" customHeight="1">
      <c r="A629" s="29"/>
      <c r="B629" s="36"/>
      <c r="C629" s="37">
        <v>0</v>
      </c>
      <c r="D629" s="38"/>
      <c r="E629" s="37">
        <f ca="1"/>
        <v>0</v>
      </c>
      <c r="F629" s="37"/>
    </row>
    <row r="630" spans="1:6" ht="39.049999999999997" customHeight="1">
      <c r="A630" s="29"/>
      <c r="B630" s="36"/>
      <c r="C630" s="37">
        <v>0</v>
      </c>
      <c r="D630" s="38"/>
      <c r="E630" s="37">
        <f ca="1"/>
        <v>0</v>
      </c>
      <c r="F630" s="37"/>
    </row>
    <row r="631" spans="1:6" ht="39.049999999999997" customHeight="1">
      <c r="A631" s="29"/>
      <c r="B631" s="36"/>
      <c r="C631" s="37">
        <v>0</v>
      </c>
      <c r="D631" s="38"/>
      <c r="E631" s="37">
        <f ca="1"/>
        <v>0</v>
      </c>
      <c r="F631" s="37"/>
    </row>
    <row r="632" spans="1:6" ht="39.049999999999997" customHeight="1">
      <c r="A632" s="29"/>
      <c r="B632" s="36"/>
      <c r="C632" s="37">
        <v>0</v>
      </c>
      <c r="D632" s="38"/>
      <c r="E632" s="37">
        <f ca="1"/>
        <v>0</v>
      </c>
      <c r="F632" s="37"/>
    </row>
    <row r="633" spans="1:6" ht="39.049999999999997" customHeight="1">
      <c r="A633" s="29"/>
      <c r="B633" s="36"/>
      <c r="C633" s="37">
        <v>0</v>
      </c>
      <c r="D633" s="38"/>
      <c r="E633" s="37">
        <f ca="1"/>
        <v>0</v>
      </c>
      <c r="F633" s="37"/>
    </row>
    <row r="634" spans="1:6" ht="39.049999999999997" customHeight="1">
      <c r="A634" s="29"/>
      <c r="B634" s="36"/>
      <c r="C634" s="37">
        <v>0</v>
      </c>
      <c r="D634" s="38"/>
      <c r="E634" s="37">
        <f ca="1"/>
        <v>0</v>
      </c>
      <c r="F634" s="37"/>
    </row>
    <row r="635" spans="1:6" ht="39.049999999999997" customHeight="1">
      <c r="A635" s="29"/>
      <c r="B635" s="36"/>
      <c r="C635" s="37">
        <v>0</v>
      </c>
      <c r="D635" s="38"/>
      <c r="E635" s="37">
        <f ca="1"/>
        <v>0</v>
      </c>
      <c r="F635" s="37"/>
    </row>
    <row r="636" spans="1:6" ht="39.049999999999997" customHeight="1">
      <c r="A636" s="29"/>
      <c r="B636" s="36"/>
      <c r="C636" s="37">
        <v>0</v>
      </c>
      <c r="D636" s="38"/>
      <c r="E636" s="37">
        <f ca="1"/>
        <v>0</v>
      </c>
      <c r="F636" s="37"/>
    </row>
    <row r="637" spans="1:6" ht="39.049999999999997" customHeight="1">
      <c r="A637" s="29"/>
      <c r="B637" s="36"/>
      <c r="C637" s="37">
        <v>0</v>
      </c>
      <c r="D637" s="38"/>
      <c r="E637" s="37">
        <f ca="1"/>
        <v>0</v>
      </c>
      <c r="F637" s="37"/>
    </row>
    <row r="638" spans="1:6" ht="39.049999999999997" customHeight="1">
      <c r="A638" s="29"/>
      <c r="B638" s="36"/>
      <c r="C638" s="37">
        <v>0</v>
      </c>
      <c r="D638" s="38"/>
      <c r="E638" s="37">
        <f ca="1"/>
        <v>0</v>
      </c>
      <c r="F638" s="37"/>
    </row>
    <row r="639" spans="1:6" ht="39.049999999999997" customHeight="1">
      <c r="A639" s="29"/>
      <c r="B639" s="36"/>
      <c r="C639" s="37">
        <v>0</v>
      </c>
      <c r="D639" s="38"/>
      <c r="E639" s="37">
        <f ca="1"/>
        <v>0</v>
      </c>
      <c r="F639" s="37"/>
    </row>
    <row r="640" spans="1:6" ht="39.049999999999997" customHeight="1">
      <c r="A640" s="29"/>
      <c r="B640" s="36"/>
      <c r="C640" s="37">
        <v>0</v>
      </c>
      <c r="D640" s="38"/>
      <c r="E640" s="37">
        <f ca="1"/>
        <v>0</v>
      </c>
      <c r="F640" s="37"/>
    </row>
    <row r="641" spans="1:6" ht="39.049999999999997" customHeight="1">
      <c r="A641" s="29"/>
      <c r="B641" s="36"/>
      <c r="C641" s="37">
        <v>0</v>
      </c>
      <c r="D641" s="38"/>
      <c r="E641" s="37">
        <f ca="1"/>
        <v>0</v>
      </c>
      <c r="F641" s="37"/>
    </row>
    <row r="642" spans="1:6" ht="39.049999999999997" customHeight="1">
      <c r="A642" s="29"/>
      <c r="B642" s="36"/>
      <c r="C642" s="37">
        <v>0</v>
      </c>
      <c r="D642" s="38"/>
      <c r="E642" s="37">
        <f ca="1"/>
        <v>0</v>
      </c>
      <c r="F642" s="37"/>
    </row>
    <row r="643" spans="1:6" ht="39.049999999999997" customHeight="1">
      <c r="A643" s="29"/>
      <c r="B643" s="36"/>
      <c r="C643" s="37">
        <v>0</v>
      </c>
      <c r="D643" s="38"/>
      <c r="E643" s="37">
        <f ca="1"/>
        <v>0</v>
      </c>
      <c r="F643" s="37"/>
    </row>
    <row r="644" spans="1:6" ht="39.049999999999997" customHeight="1">
      <c r="A644" s="29"/>
      <c r="B644" s="36"/>
      <c r="C644" s="37">
        <v>0</v>
      </c>
      <c r="D644" s="38"/>
      <c r="E644" s="37">
        <f ca="1"/>
        <v>0</v>
      </c>
      <c r="F644" s="37"/>
    </row>
    <row r="645" spans="1:6" ht="39.049999999999997" customHeight="1">
      <c r="A645" s="29"/>
      <c r="B645" s="36"/>
      <c r="C645" s="37">
        <v>0</v>
      </c>
      <c r="D645" s="38"/>
      <c r="E645" s="37">
        <f ca="1"/>
        <v>0</v>
      </c>
      <c r="F645" s="37"/>
    </row>
    <row r="646" spans="1:6" ht="39.049999999999997" customHeight="1">
      <c r="A646" s="29"/>
      <c r="B646" s="36"/>
      <c r="C646" s="37">
        <v>0</v>
      </c>
      <c r="D646" s="38"/>
      <c r="E646" s="37">
        <f ca="1"/>
        <v>0</v>
      </c>
      <c r="F646" s="37"/>
    </row>
    <row r="647" spans="1:6" ht="39.049999999999997" customHeight="1">
      <c r="A647" s="29"/>
      <c r="B647" s="36"/>
      <c r="C647" s="37">
        <v>0</v>
      </c>
      <c r="D647" s="38"/>
      <c r="E647" s="37">
        <f ca="1"/>
        <v>0</v>
      </c>
      <c r="F647" s="37"/>
    </row>
    <row r="648" spans="1:6" ht="39.049999999999997" customHeight="1">
      <c r="A648" s="29"/>
      <c r="B648" s="36"/>
      <c r="C648" s="37">
        <v>0</v>
      </c>
      <c r="D648" s="38"/>
      <c r="E648" s="37">
        <f ca="1"/>
        <v>0</v>
      </c>
      <c r="F648" s="37"/>
    </row>
    <row r="649" spans="1:6" ht="39.049999999999997" customHeight="1">
      <c r="A649" s="29"/>
      <c r="B649" s="36"/>
      <c r="C649" s="37">
        <v>0</v>
      </c>
      <c r="D649" s="38"/>
      <c r="E649" s="37">
        <f ca="1"/>
        <v>0</v>
      </c>
      <c r="F649" s="37"/>
    </row>
    <row r="650" spans="1:6" ht="39.049999999999997" customHeight="1">
      <c r="A650" s="29"/>
      <c r="B650" s="36"/>
      <c r="C650" s="37">
        <v>0</v>
      </c>
      <c r="D650" s="38"/>
      <c r="E650" s="37">
        <f ca="1"/>
        <v>0</v>
      </c>
      <c r="F650" s="37"/>
    </row>
    <row r="651" spans="1:6" ht="39.049999999999997" customHeight="1">
      <c r="A651" s="29"/>
      <c r="B651" s="36"/>
      <c r="C651" s="37">
        <v>0</v>
      </c>
      <c r="D651" s="38"/>
      <c r="E651" s="37">
        <f ca="1"/>
        <v>0</v>
      </c>
      <c r="F651" s="37"/>
    </row>
    <row r="652" spans="1:6" ht="39.049999999999997" customHeight="1">
      <c r="A652" s="29"/>
      <c r="B652" s="36"/>
      <c r="C652" s="37">
        <v>0</v>
      </c>
      <c r="D652" s="38"/>
      <c r="E652" s="37">
        <f ca="1"/>
        <v>0</v>
      </c>
      <c r="F652" s="37"/>
    </row>
    <row r="653" spans="1:6" ht="39.049999999999997" customHeight="1">
      <c r="A653" s="29"/>
      <c r="B653" s="36"/>
      <c r="C653" s="37">
        <v>0</v>
      </c>
      <c r="D653" s="38"/>
      <c r="E653" s="37">
        <f ca="1"/>
        <v>0</v>
      </c>
      <c r="F653" s="37"/>
    </row>
    <row r="654" spans="1:6" ht="39.049999999999997" customHeight="1">
      <c r="A654" s="29"/>
      <c r="B654" s="36"/>
      <c r="C654" s="37">
        <v>0</v>
      </c>
      <c r="D654" s="38"/>
      <c r="E654" s="37">
        <f ca="1"/>
        <v>0</v>
      </c>
      <c r="F654" s="37"/>
    </row>
    <row r="655" spans="1:6" ht="39.049999999999997" customHeight="1">
      <c r="A655" s="29"/>
      <c r="B655" s="36"/>
      <c r="C655" s="37">
        <v>0</v>
      </c>
      <c r="D655" s="38"/>
      <c r="E655" s="37">
        <f ca="1"/>
        <v>0</v>
      </c>
      <c r="F655" s="37"/>
    </row>
    <row r="656" spans="1:6" ht="39.049999999999997" customHeight="1">
      <c r="A656" s="29"/>
      <c r="B656" s="36"/>
      <c r="C656" s="37">
        <v>0</v>
      </c>
      <c r="D656" s="38"/>
      <c r="E656" s="37">
        <f ca="1"/>
        <v>0</v>
      </c>
      <c r="F656" s="37"/>
    </row>
    <row r="657" spans="1:6" ht="39.049999999999997" customHeight="1">
      <c r="A657" s="29"/>
      <c r="B657" s="36"/>
      <c r="C657" s="37">
        <v>0</v>
      </c>
      <c r="D657" s="38"/>
      <c r="E657" s="37">
        <f ca="1"/>
        <v>0</v>
      </c>
      <c r="F657" s="37"/>
    </row>
    <row r="658" spans="1:6" ht="39.049999999999997" customHeight="1">
      <c r="A658" s="29"/>
      <c r="B658" s="36"/>
      <c r="C658" s="37">
        <v>0</v>
      </c>
      <c r="D658" s="38"/>
      <c r="E658" s="37">
        <f ca="1"/>
        <v>0</v>
      </c>
      <c r="F658" s="37"/>
    </row>
    <row r="659" spans="1:6" ht="39.049999999999997" customHeight="1">
      <c r="A659" s="29"/>
      <c r="B659" s="36"/>
      <c r="C659" s="37">
        <v>0</v>
      </c>
      <c r="D659" s="38"/>
      <c r="E659" s="37">
        <f ca="1"/>
        <v>0</v>
      </c>
      <c r="F659" s="37"/>
    </row>
    <row r="660" spans="1:6" ht="39.049999999999997" customHeight="1">
      <c r="A660" s="29"/>
      <c r="B660" s="36"/>
      <c r="C660" s="37">
        <v>0</v>
      </c>
      <c r="D660" s="38"/>
      <c r="E660" s="37">
        <f ca="1"/>
        <v>0</v>
      </c>
      <c r="F660" s="37"/>
    </row>
    <row r="661" spans="1:6" ht="39.049999999999997" customHeight="1">
      <c r="A661" s="29"/>
      <c r="B661" s="36"/>
      <c r="C661" s="37">
        <v>0</v>
      </c>
      <c r="D661" s="38"/>
      <c r="E661" s="37">
        <f ca="1"/>
        <v>0</v>
      </c>
      <c r="F661" s="37"/>
    </row>
    <row r="662" spans="1:6" ht="39.049999999999997" customHeight="1">
      <c r="A662" s="29"/>
      <c r="B662" s="36"/>
      <c r="C662" s="37">
        <v>0</v>
      </c>
      <c r="D662" s="38"/>
      <c r="E662" s="37">
        <f ca="1"/>
        <v>0</v>
      </c>
      <c r="F662" s="37"/>
    </row>
    <row r="663" spans="1:6" ht="39.049999999999997" customHeight="1">
      <c r="A663" s="29"/>
      <c r="B663" s="36"/>
      <c r="C663" s="37">
        <v>0</v>
      </c>
      <c r="D663" s="38"/>
      <c r="E663" s="37">
        <f ca="1"/>
        <v>0</v>
      </c>
      <c r="F663" s="37"/>
    </row>
    <row r="664" spans="1:6" ht="39.049999999999997" customHeight="1">
      <c r="A664" s="29"/>
      <c r="B664" s="36"/>
      <c r="C664" s="37">
        <v>0</v>
      </c>
      <c r="D664" s="38"/>
      <c r="E664" s="37">
        <f ca="1"/>
        <v>0</v>
      </c>
      <c r="F664" s="37"/>
    </row>
    <row r="665" spans="1:6" ht="39.049999999999997" customHeight="1">
      <c r="A665" s="29"/>
      <c r="B665" s="36"/>
      <c r="C665" s="37">
        <v>0</v>
      </c>
      <c r="D665" s="38"/>
      <c r="E665" s="37">
        <f ca="1"/>
        <v>0</v>
      </c>
      <c r="F665" s="37"/>
    </row>
    <row r="666" spans="1:6" ht="39.049999999999997" customHeight="1">
      <c r="A666" s="29"/>
      <c r="B666" s="36"/>
      <c r="C666" s="37">
        <v>0</v>
      </c>
      <c r="D666" s="38"/>
      <c r="E666" s="37">
        <f ca="1"/>
        <v>0</v>
      </c>
      <c r="F666" s="37"/>
    </row>
    <row r="667" spans="1:6" ht="39.049999999999997" customHeight="1">
      <c r="A667" s="29"/>
      <c r="B667" s="36"/>
      <c r="C667" s="37">
        <v>0</v>
      </c>
      <c r="D667" s="38"/>
      <c r="E667" s="37">
        <f ca="1"/>
        <v>0</v>
      </c>
      <c r="F667" s="37"/>
    </row>
    <row r="668" spans="1:6" ht="39.049999999999997" customHeight="1">
      <c r="A668" s="29"/>
      <c r="B668" s="36"/>
      <c r="C668" s="37">
        <v>0</v>
      </c>
      <c r="D668" s="38"/>
      <c r="E668" s="37">
        <f ca="1"/>
        <v>0</v>
      </c>
      <c r="F668" s="37"/>
    </row>
    <row r="669" spans="1:6" ht="39.049999999999997" customHeight="1">
      <c r="A669" s="29"/>
      <c r="B669" s="36"/>
      <c r="C669" s="37">
        <v>0</v>
      </c>
      <c r="D669" s="38"/>
      <c r="E669" s="37">
        <f ca="1"/>
        <v>0</v>
      </c>
      <c r="F669" s="37"/>
    </row>
    <row r="670" spans="1:6" ht="39.049999999999997" customHeight="1">
      <c r="A670" s="29"/>
      <c r="B670" s="36"/>
      <c r="C670" s="37">
        <v>0</v>
      </c>
      <c r="D670" s="38"/>
      <c r="E670" s="37">
        <f ca="1"/>
        <v>0</v>
      </c>
      <c r="F670" s="37"/>
    </row>
    <row r="671" spans="1:6" ht="39.049999999999997" customHeight="1">
      <c r="A671" s="29"/>
      <c r="B671" s="36"/>
      <c r="C671" s="37">
        <v>0</v>
      </c>
      <c r="D671" s="38"/>
      <c r="E671" s="37">
        <f ca="1"/>
        <v>0</v>
      </c>
      <c r="F671" s="37"/>
    </row>
    <row r="672" spans="1:6" ht="39.049999999999997" customHeight="1">
      <c r="A672" s="29"/>
      <c r="B672" s="36"/>
      <c r="C672" s="37">
        <v>0</v>
      </c>
      <c r="D672" s="38"/>
      <c r="E672" s="37">
        <f ca="1"/>
        <v>0</v>
      </c>
      <c r="F672" s="37"/>
    </row>
    <row r="673" spans="1:6" ht="39.049999999999997" customHeight="1">
      <c r="A673" s="29"/>
      <c r="B673" s="36"/>
      <c r="C673" s="37">
        <v>0</v>
      </c>
      <c r="D673" s="38"/>
      <c r="E673" s="37">
        <f ca="1"/>
        <v>0</v>
      </c>
      <c r="F673" s="37"/>
    </row>
    <row r="674" spans="1:6" ht="39.049999999999997" customHeight="1">
      <c r="A674" s="29"/>
      <c r="B674" s="36"/>
      <c r="C674" s="37">
        <v>0</v>
      </c>
      <c r="D674" s="38"/>
      <c r="E674" s="37">
        <f ca="1"/>
        <v>0</v>
      </c>
      <c r="F674" s="37"/>
    </row>
    <row r="675" spans="1:6" ht="39.049999999999997" customHeight="1">
      <c r="A675" s="29"/>
      <c r="B675" s="36"/>
      <c r="C675" s="37">
        <v>0</v>
      </c>
      <c r="D675" s="38"/>
      <c r="E675" s="37">
        <f ca="1"/>
        <v>0</v>
      </c>
      <c r="F675" s="37"/>
    </row>
    <row r="676" spans="1:6" ht="39.049999999999997" customHeight="1">
      <c r="A676" s="29"/>
      <c r="B676" s="36"/>
      <c r="C676" s="37">
        <v>0</v>
      </c>
      <c r="D676" s="38"/>
      <c r="E676" s="37">
        <f ca="1"/>
        <v>0</v>
      </c>
      <c r="F676" s="37"/>
    </row>
    <row r="677" spans="1:6" ht="39.049999999999997" customHeight="1">
      <c r="A677" s="29"/>
      <c r="B677" s="36"/>
      <c r="C677" s="37">
        <v>0</v>
      </c>
      <c r="D677" s="38"/>
      <c r="E677" s="37">
        <f ca="1"/>
        <v>0</v>
      </c>
      <c r="F677" s="37"/>
    </row>
    <row r="678" spans="1:6" ht="39.049999999999997" customHeight="1">
      <c r="A678" s="29"/>
      <c r="B678" s="36"/>
      <c r="C678" s="37">
        <v>0</v>
      </c>
      <c r="D678" s="38"/>
      <c r="E678" s="37">
        <f ca="1"/>
        <v>0</v>
      </c>
      <c r="F678" s="37"/>
    </row>
    <row r="679" spans="1:6" ht="39.049999999999997" customHeight="1">
      <c r="A679" s="29"/>
      <c r="B679" s="36"/>
      <c r="C679" s="37">
        <v>0</v>
      </c>
      <c r="D679" s="38"/>
      <c r="E679" s="37">
        <f ca="1"/>
        <v>0</v>
      </c>
      <c r="F679" s="37"/>
    </row>
    <row r="680" spans="1:6" ht="39.049999999999997" customHeight="1">
      <c r="A680" s="29"/>
      <c r="B680" s="36"/>
      <c r="C680" s="37">
        <v>0</v>
      </c>
      <c r="D680" s="38"/>
      <c r="E680" s="37">
        <f ca="1"/>
        <v>0</v>
      </c>
      <c r="F680" s="37"/>
    </row>
    <row r="681" spans="1:6" ht="39.049999999999997" customHeight="1">
      <c r="A681" s="29"/>
      <c r="B681" s="36"/>
      <c r="C681" s="37">
        <v>0</v>
      </c>
      <c r="D681" s="38"/>
      <c r="E681" s="37">
        <f ca="1"/>
        <v>0</v>
      </c>
      <c r="F681" s="37"/>
    </row>
    <row r="682" spans="1:6" ht="39.049999999999997" customHeight="1">
      <c r="A682" s="29"/>
      <c r="B682" s="36"/>
      <c r="C682" s="37">
        <v>0</v>
      </c>
      <c r="D682" s="38"/>
      <c r="E682" s="37">
        <f ca="1"/>
        <v>0</v>
      </c>
      <c r="F682" s="37"/>
    </row>
    <row r="683" spans="1:6" ht="39.049999999999997" customHeight="1">
      <c r="A683" s="29"/>
      <c r="B683" s="36"/>
      <c r="C683" s="37">
        <v>0</v>
      </c>
      <c r="D683" s="38"/>
      <c r="E683" s="37">
        <f ca="1"/>
        <v>0</v>
      </c>
      <c r="F683" s="37"/>
    </row>
    <row r="684" spans="1:6" ht="39.049999999999997" customHeight="1">
      <c r="A684" s="29"/>
      <c r="B684" s="36"/>
      <c r="C684" s="37">
        <v>0</v>
      </c>
      <c r="D684" s="38"/>
      <c r="E684" s="37">
        <f ca="1"/>
        <v>0</v>
      </c>
      <c r="F684" s="37"/>
    </row>
    <row r="685" spans="1:6" ht="39.049999999999997" customHeight="1">
      <c r="A685" s="29"/>
      <c r="B685" s="36"/>
      <c r="C685" s="37">
        <v>0</v>
      </c>
      <c r="D685" s="38"/>
      <c r="E685" s="37">
        <f ca="1"/>
        <v>0</v>
      </c>
      <c r="F685" s="37"/>
    </row>
    <row r="686" spans="1:6" ht="39.049999999999997" customHeight="1">
      <c r="A686" s="29"/>
      <c r="B686" s="36"/>
      <c r="C686" s="37">
        <v>0</v>
      </c>
      <c r="D686" s="38"/>
      <c r="E686" s="37">
        <f ca="1"/>
        <v>0</v>
      </c>
      <c r="F686" s="37"/>
    </row>
    <row r="687" spans="1:6" ht="39.049999999999997" customHeight="1">
      <c r="A687" s="29"/>
      <c r="B687" s="36"/>
      <c r="C687" s="37">
        <v>0</v>
      </c>
      <c r="D687" s="38"/>
      <c r="E687" s="37">
        <f ca="1"/>
        <v>0</v>
      </c>
      <c r="F687" s="37"/>
    </row>
    <row r="688" spans="1:6" ht="39.049999999999997" customHeight="1">
      <c r="A688" s="29"/>
      <c r="B688" s="36"/>
      <c r="C688" s="37">
        <v>0</v>
      </c>
      <c r="D688" s="38"/>
      <c r="E688" s="37">
        <f ca="1"/>
        <v>0</v>
      </c>
      <c r="F688" s="37"/>
    </row>
    <row r="689" spans="1:6" ht="39.049999999999997" customHeight="1">
      <c r="A689" s="29"/>
      <c r="B689" s="36"/>
      <c r="C689" s="37">
        <v>0</v>
      </c>
      <c r="D689" s="38"/>
      <c r="E689" s="37">
        <f ca="1"/>
        <v>0</v>
      </c>
      <c r="F689" s="37"/>
    </row>
    <row r="690" spans="1:6" ht="39.049999999999997" customHeight="1">
      <c r="A690" s="29"/>
      <c r="B690" s="36"/>
      <c r="C690" s="37">
        <v>0</v>
      </c>
      <c r="D690" s="38"/>
      <c r="E690" s="37">
        <f ca="1"/>
        <v>0</v>
      </c>
      <c r="F690" s="37"/>
    </row>
    <row r="691" spans="1:6" ht="39.049999999999997" customHeight="1">
      <c r="A691" s="29"/>
      <c r="B691" s="36"/>
      <c r="C691" s="37">
        <v>0</v>
      </c>
      <c r="D691" s="38"/>
      <c r="E691" s="37">
        <f ca="1"/>
        <v>0</v>
      </c>
      <c r="F691" s="37"/>
    </row>
    <row r="692" spans="1:6" ht="39.049999999999997" customHeight="1">
      <c r="A692" s="29"/>
      <c r="B692" s="36"/>
      <c r="C692" s="37">
        <v>0</v>
      </c>
      <c r="D692" s="38"/>
      <c r="E692" s="37">
        <f ca="1"/>
        <v>0</v>
      </c>
      <c r="F692" s="37"/>
    </row>
    <row r="693" spans="1:6" ht="39.049999999999997" customHeight="1">
      <c r="A693" s="29"/>
      <c r="B693" s="36"/>
      <c r="C693" s="37">
        <v>0</v>
      </c>
      <c r="D693" s="38"/>
      <c r="E693" s="37">
        <f ca="1"/>
        <v>0</v>
      </c>
      <c r="F693" s="37"/>
    </row>
    <row r="694" spans="1:6" ht="39.049999999999997" customHeight="1">
      <c r="A694" s="29"/>
      <c r="B694" s="36"/>
      <c r="C694" s="37">
        <v>0</v>
      </c>
      <c r="D694" s="38"/>
      <c r="E694" s="37">
        <f ca="1"/>
        <v>0</v>
      </c>
      <c r="F694" s="37"/>
    </row>
    <row r="695" spans="1:6" ht="39.049999999999997" customHeight="1">
      <c r="A695" s="29"/>
      <c r="B695" s="36"/>
      <c r="C695" s="37">
        <v>0</v>
      </c>
      <c r="D695" s="38"/>
      <c r="E695" s="37">
        <f ca="1"/>
        <v>0</v>
      </c>
      <c r="F695" s="37"/>
    </row>
    <row r="696" spans="1:6" ht="39.049999999999997" customHeight="1">
      <c r="A696" s="29"/>
      <c r="B696" s="36"/>
      <c r="C696" s="37">
        <v>0</v>
      </c>
      <c r="D696" s="38"/>
      <c r="E696" s="37">
        <f ca="1"/>
        <v>0</v>
      </c>
      <c r="F696" s="37"/>
    </row>
    <row r="697" spans="1:6" ht="39.049999999999997" customHeight="1">
      <c r="A697" s="29"/>
      <c r="B697" s="36"/>
      <c r="C697" s="37">
        <v>0</v>
      </c>
      <c r="D697" s="38"/>
      <c r="E697" s="37">
        <f ca="1"/>
        <v>0</v>
      </c>
      <c r="F697" s="37"/>
    </row>
    <row r="698" spans="1:6" ht="39.049999999999997" customHeight="1">
      <c r="A698" s="29"/>
      <c r="B698" s="36"/>
      <c r="C698" s="37">
        <v>0</v>
      </c>
      <c r="D698" s="38"/>
      <c r="E698" s="37">
        <f ca="1"/>
        <v>0</v>
      </c>
      <c r="F698" s="37"/>
    </row>
    <row r="699" spans="1:6" ht="39.049999999999997" customHeight="1">
      <c r="A699" s="29"/>
      <c r="B699" s="36"/>
      <c r="C699" s="37">
        <v>0</v>
      </c>
      <c r="D699" s="38"/>
      <c r="E699" s="37">
        <f ca="1"/>
        <v>0</v>
      </c>
      <c r="F699" s="37"/>
    </row>
    <row r="700" spans="1:6" ht="39.049999999999997" customHeight="1">
      <c r="A700" s="29"/>
      <c r="B700" s="36"/>
      <c r="C700" s="37">
        <v>0</v>
      </c>
      <c r="D700" s="38"/>
      <c r="E700" s="37">
        <f ca="1"/>
        <v>0</v>
      </c>
      <c r="F700" s="37"/>
    </row>
    <row r="701" spans="1:6" ht="39.049999999999997" customHeight="1">
      <c r="A701" s="29"/>
      <c r="B701" s="36"/>
      <c r="C701" s="37">
        <v>0</v>
      </c>
      <c r="D701" s="38"/>
      <c r="E701" s="37">
        <f ca="1"/>
        <v>0</v>
      </c>
      <c r="F701" s="37"/>
    </row>
    <row r="702" spans="1:6" ht="39.049999999999997" customHeight="1">
      <c r="A702" s="29"/>
      <c r="B702" s="36"/>
      <c r="C702" s="37">
        <v>0</v>
      </c>
      <c r="D702" s="38"/>
      <c r="E702" s="37">
        <f ca="1"/>
        <v>0</v>
      </c>
      <c r="F702" s="37"/>
    </row>
    <row r="703" spans="1:6" ht="39.049999999999997" customHeight="1">
      <c r="A703" s="29"/>
      <c r="B703" s="36"/>
      <c r="C703" s="37">
        <v>0</v>
      </c>
      <c r="D703" s="38"/>
      <c r="E703" s="37">
        <f ca="1"/>
        <v>0</v>
      </c>
      <c r="F703" s="37"/>
    </row>
    <row r="704" spans="1:6" ht="39.049999999999997" customHeight="1">
      <c r="A704" s="29"/>
      <c r="B704" s="36"/>
      <c r="C704" s="37">
        <v>0</v>
      </c>
      <c r="D704" s="38"/>
      <c r="E704" s="37">
        <f ca="1"/>
        <v>0</v>
      </c>
      <c r="F704" s="37"/>
    </row>
    <row r="705" spans="1:6" ht="39.049999999999997" customHeight="1">
      <c r="A705" s="29"/>
      <c r="B705" s="36"/>
      <c r="C705" s="37">
        <v>0</v>
      </c>
      <c r="D705" s="38"/>
      <c r="E705" s="37">
        <f ca="1"/>
        <v>0</v>
      </c>
      <c r="F705" s="37"/>
    </row>
    <row r="706" spans="1:6" ht="39.049999999999997" customHeight="1">
      <c r="A706" s="29"/>
      <c r="B706" s="36"/>
      <c r="C706" s="37">
        <v>0</v>
      </c>
      <c r="D706" s="38"/>
      <c r="E706" s="37">
        <f ca="1"/>
        <v>0</v>
      </c>
      <c r="F706" s="37"/>
    </row>
    <row r="707" spans="1:6" ht="39.049999999999997" customHeight="1">
      <c r="A707" s="29"/>
      <c r="B707" s="36"/>
      <c r="C707" s="37">
        <v>0</v>
      </c>
      <c r="D707" s="38"/>
      <c r="E707" s="37">
        <f ca="1"/>
        <v>0</v>
      </c>
      <c r="F707" s="37"/>
    </row>
    <row r="708" spans="1:6" ht="39.049999999999997" customHeight="1">
      <c r="A708" s="29"/>
      <c r="B708" s="36"/>
      <c r="C708" s="37">
        <v>0</v>
      </c>
      <c r="D708" s="38"/>
      <c r="E708" s="37">
        <f ca="1"/>
        <v>0</v>
      </c>
      <c r="F708" s="37"/>
    </row>
    <row r="709" spans="1:6" ht="39.049999999999997" customHeight="1">
      <c r="A709" s="29"/>
      <c r="B709" s="36"/>
      <c r="C709" s="37">
        <v>0</v>
      </c>
      <c r="D709" s="38"/>
      <c r="E709" s="37">
        <f ca="1"/>
        <v>0</v>
      </c>
      <c r="F709" s="37"/>
    </row>
    <row r="710" spans="1:6" ht="39.049999999999997" customHeight="1">
      <c r="A710" s="29"/>
      <c r="B710" s="36"/>
      <c r="C710" s="37">
        <v>0</v>
      </c>
      <c r="D710" s="38"/>
      <c r="E710" s="37">
        <f ca="1"/>
        <v>0</v>
      </c>
      <c r="F710" s="37"/>
    </row>
    <row r="711" spans="1:6" ht="39.049999999999997" customHeight="1">
      <c r="A711" s="29"/>
      <c r="B711" s="36"/>
      <c r="C711" s="37">
        <v>0</v>
      </c>
      <c r="D711" s="38"/>
      <c r="E711" s="37">
        <f ca="1"/>
        <v>0</v>
      </c>
      <c r="F711" s="37"/>
    </row>
    <row r="712" spans="1:6" ht="39.049999999999997" customHeight="1">
      <c r="A712" s="29"/>
      <c r="B712" s="36"/>
      <c r="C712" s="37">
        <v>0</v>
      </c>
      <c r="D712" s="38"/>
      <c r="E712" s="37">
        <f ca="1"/>
        <v>0</v>
      </c>
      <c r="F712" s="37"/>
    </row>
    <row r="713" spans="1:6" ht="39.049999999999997" customHeight="1">
      <c r="A713" s="29"/>
      <c r="B713" s="36"/>
      <c r="C713" s="37">
        <v>0</v>
      </c>
      <c r="D713" s="38"/>
      <c r="E713" s="37">
        <f ca="1"/>
        <v>0</v>
      </c>
      <c r="F713" s="37"/>
    </row>
    <row r="714" spans="1:6" ht="39.049999999999997" customHeight="1">
      <c r="A714" s="29"/>
      <c r="B714" s="36"/>
      <c r="C714" s="37">
        <v>0</v>
      </c>
      <c r="D714" s="38"/>
      <c r="E714" s="37">
        <f ca="1"/>
        <v>0</v>
      </c>
      <c r="F714" s="37"/>
    </row>
    <row r="715" spans="1:6" ht="39.049999999999997" customHeight="1">
      <c r="A715" s="29"/>
      <c r="B715" s="36"/>
      <c r="C715" s="37">
        <v>0</v>
      </c>
      <c r="D715" s="38"/>
      <c r="E715" s="37">
        <f ca="1"/>
        <v>0</v>
      </c>
      <c r="F715" s="37"/>
    </row>
    <row r="716" spans="1:6" ht="39.049999999999997" customHeight="1">
      <c r="A716" s="29"/>
      <c r="B716" s="36"/>
      <c r="C716" s="37">
        <v>0</v>
      </c>
      <c r="D716" s="38"/>
      <c r="E716" s="37">
        <f ca="1"/>
        <v>0</v>
      </c>
      <c r="F716" s="37"/>
    </row>
    <row r="717" spans="1:6" ht="39.049999999999997" customHeight="1">
      <c r="A717" s="29"/>
      <c r="B717" s="36"/>
      <c r="C717" s="37">
        <v>0</v>
      </c>
      <c r="D717" s="38"/>
      <c r="E717" s="37">
        <f ca="1"/>
        <v>0</v>
      </c>
      <c r="F717" s="37"/>
    </row>
    <row r="718" spans="1:6" ht="39.049999999999997" customHeight="1">
      <c r="A718" s="29"/>
      <c r="B718" s="36"/>
      <c r="C718" s="37">
        <v>0</v>
      </c>
      <c r="D718" s="38"/>
      <c r="E718" s="37">
        <f ca="1"/>
        <v>0</v>
      </c>
      <c r="F718" s="37"/>
    </row>
    <row r="719" spans="1:6" ht="39.049999999999997" customHeight="1">
      <c r="A719" s="29"/>
      <c r="B719" s="36"/>
      <c r="C719" s="37">
        <v>0</v>
      </c>
      <c r="D719" s="38"/>
      <c r="E719" s="37">
        <f ca="1"/>
        <v>0</v>
      </c>
      <c r="F719" s="37"/>
    </row>
    <row r="720" spans="1:6" ht="39.049999999999997" customHeight="1">
      <c r="A720" s="29"/>
      <c r="B720" s="36"/>
      <c r="C720" s="37">
        <v>0</v>
      </c>
      <c r="D720" s="38"/>
      <c r="E720" s="37">
        <f ca="1"/>
        <v>0</v>
      </c>
      <c r="F720" s="37"/>
    </row>
    <row r="721" spans="1:6" ht="39.049999999999997" customHeight="1">
      <c r="A721" s="29"/>
      <c r="B721" s="36"/>
      <c r="C721" s="37">
        <v>0</v>
      </c>
      <c r="D721" s="38"/>
      <c r="E721" s="37">
        <f ca="1"/>
        <v>0</v>
      </c>
      <c r="F721" s="37"/>
    </row>
    <row r="722" spans="1:6" ht="39.049999999999997" customHeight="1">
      <c r="A722" s="29"/>
      <c r="B722" s="36"/>
      <c r="C722" s="37">
        <v>0</v>
      </c>
      <c r="D722" s="38"/>
      <c r="E722" s="37">
        <f ca="1"/>
        <v>0</v>
      </c>
      <c r="F722" s="37"/>
    </row>
    <row r="723" spans="1:6" ht="39.049999999999997" customHeight="1">
      <c r="A723" s="29"/>
      <c r="B723" s="36"/>
      <c r="C723" s="37">
        <v>0</v>
      </c>
      <c r="D723" s="38"/>
      <c r="E723" s="37">
        <f ca="1"/>
        <v>0</v>
      </c>
      <c r="F723" s="37"/>
    </row>
    <row r="724" spans="1:6" ht="39.049999999999997" customHeight="1">
      <c r="A724" s="29"/>
      <c r="B724" s="36"/>
      <c r="C724" s="37">
        <v>0</v>
      </c>
      <c r="D724" s="38"/>
      <c r="E724" s="37">
        <f ca="1"/>
        <v>0</v>
      </c>
      <c r="F724" s="37"/>
    </row>
    <row r="725" spans="1:6" ht="39.049999999999997" customHeight="1">
      <c r="A725" s="29"/>
      <c r="B725" s="36"/>
      <c r="C725" s="37">
        <v>0</v>
      </c>
      <c r="D725" s="38"/>
      <c r="E725" s="37">
        <f ca="1"/>
        <v>0</v>
      </c>
      <c r="F725" s="37"/>
    </row>
    <row r="726" spans="1:6" ht="39.049999999999997" customHeight="1">
      <c r="A726" s="29"/>
      <c r="B726" s="36"/>
      <c r="C726" s="37">
        <v>0</v>
      </c>
      <c r="D726" s="38"/>
      <c r="E726" s="37">
        <f ca="1"/>
        <v>0</v>
      </c>
      <c r="F726" s="37"/>
    </row>
    <row r="727" spans="1:6" ht="39.049999999999997" customHeight="1">
      <c r="A727" s="29"/>
      <c r="B727" s="36"/>
      <c r="C727" s="37">
        <v>0</v>
      </c>
      <c r="D727" s="38"/>
      <c r="E727" s="37">
        <f ca="1"/>
        <v>0</v>
      </c>
      <c r="F727" s="37"/>
    </row>
    <row r="728" spans="1:6" ht="39.049999999999997" customHeight="1">
      <c r="A728" s="29"/>
      <c r="B728" s="36"/>
      <c r="C728" s="37">
        <v>0</v>
      </c>
      <c r="D728" s="38"/>
      <c r="E728" s="37">
        <f ca="1"/>
        <v>0</v>
      </c>
      <c r="F728" s="37"/>
    </row>
    <row r="729" spans="1:6" ht="39.049999999999997" customHeight="1">
      <c r="A729" s="29"/>
      <c r="B729" s="36"/>
      <c r="C729" s="37">
        <v>0</v>
      </c>
      <c r="D729" s="38"/>
      <c r="E729" s="37">
        <f ca="1"/>
        <v>0</v>
      </c>
      <c r="F729" s="37"/>
    </row>
    <row r="730" spans="1:6" ht="39.049999999999997" customHeight="1">
      <c r="A730" s="29"/>
      <c r="B730" s="36"/>
      <c r="C730" s="37">
        <v>0</v>
      </c>
      <c r="D730" s="38"/>
      <c r="E730" s="37">
        <f ca="1"/>
        <v>0</v>
      </c>
      <c r="F730" s="37"/>
    </row>
    <row r="731" spans="1:6" ht="39.049999999999997" customHeight="1">
      <c r="A731" s="29"/>
      <c r="B731" s="36"/>
      <c r="C731" s="37">
        <v>0</v>
      </c>
      <c r="D731" s="38"/>
      <c r="E731" s="37">
        <f ca="1"/>
        <v>0</v>
      </c>
      <c r="F731" s="37"/>
    </row>
    <row r="732" spans="1:6" ht="39.049999999999997" customHeight="1">
      <c r="A732" s="29"/>
      <c r="B732" s="36"/>
      <c r="C732" s="37">
        <v>0</v>
      </c>
      <c r="D732" s="38"/>
      <c r="E732" s="37">
        <f ca="1"/>
        <v>0</v>
      </c>
      <c r="F732" s="37"/>
    </row>
    <row r="733" spans="1:6" ht="39.049999999999997" customHeight="1">
      <c r="A733" s="29"/>
      <c r="B733" s="36"/>
      <c r="C733" s="37">
        <v>0</v>
      </c>
      <c r="D733" s="38"/>
      <c r="E733" s="37">
        <f ca="1"/>
        <v>0</v>
      </c>
      <c r="F733" s="37"/>
    </row>
    <row r="734" spans="1:6" ht="39.049999999999997" customHeight="1">
      <c r="A734" s="29"/>
      <c r="B734" s="36"/>
      <c r="C734" s="37">
        <v>0</v>
      </c>
      <c r="D734" s="38"/>
      <c r="E734" s="37">
        <f ca="1"/>
        <v>0</v>
      </c>
      <c r="F734" s="37"/>
    </row>
    <row r="735" spans="1:6" ht="39.049999999999997" customHeight="1">
      <c r="A735" s="29"/>
      <c r="B735" s="36"/>
      <c r="C735" s="37">
        <v>0</v>
      </c>
      <c r="D735" s="38"/>
      <c r="E735" s="37">
        <f ca="1"/>
        <v>0</v>
      </c>
      <c r="F735" s="37"/>
    </row>
    <row r="736" spans="1:6" ht="39.049999999999997" customHeight="1">
      <c r="A736" s="29"/>
      <c r="B736" s="36"/>
      <c r="C736" s="37">
        <v>0</v>
      </c>
      <c r="D736" s="38"/>
      <c r="E736" s="37">
        <f ca="1"/>
        <v>0</v>
      </c>
      <c r="F736" s="37"/>
    </row>
    <row r="737" spans="1:6" ht="39.049999999999997" customHeight="1">
      <c r="A737" s="29"/>
      <c r="B737" s="36"/>
      <c r="C737" s="37">
        <v>0</v>
      </c>
      <c r="D737" s="38"/>
      <c r="E737" s="37">
        <f ca="1"/>
        <v>0</v>
      </c>
      <c r="F737" s="37"/>
    </row>
    <row r="738" spans="1:6" ht="39.049999999999997" customHeight="1">
      <c r="A738" s="29"/>
      <c r="B738" s="36"/>
      <c r="C738" s="37">
        <v>0</v>
      </c>
      <c r="D738" s="38"/>
      <c r="E738" s="37">
        <f ca="1"/>
        <v>0</v>
      </c>
      <c r="F738" s="37"/>
    </row>
    <row r="739" spans="1:6" ht="39.049999999999997" customHeight="1">
      <c r="A739" s="29"/>
      <c r="B739" s="36"/>
      <c r="C739" s="37">
        <v>0</v>
      </c>
      <c r="D739" s="38"/>
      <c r="E739" s="37">
        <f ca="1"/>
        <v>0</v>
      </c>
      <c r="F739" s="37"/>
    </row>
    <row r="740" spans="1:6" ht="39.049999999999997" customHeight="1">
      <c r="A740" s="29"/>
      <c r="B740" s="36"/>
      <c r="C740" s="37">
        <v>0</v>
      </c>
      <c r="D740" s="38"/>
      <c r="E740" s="37">
        <f ca="1"/>
        <v>0</v>
      </c>
      <c r="F740" s="37"/>
    </row>
    <row r="741" spans="1:6" ht="39.049999999999997" customHeight="1">
      <c r="A741" s="29"/>
      <c r="B741" s="36"/>
      <c r="C741" s="37">
        <v>0</v>
      </c>
      <c r="D741" s="38"/>
      <c r="E741" s="37">
        <f ca="1"/>
        <v>0</v>
      </c>
      <c r="F741" s="37"/>
    </row>
    <row r="742" spans="1:6" ht="39.049999999999997" customHeight="1">
      <c r="A742" s="29"/>
      <c r="B742" s="36"/>
      <c r="C742" s="37">
        <v>0</v>
      </c>
      <c r="D742" s="38"/>
      <c r="E742" s="37">
        <f ca="1"/>
        <v>0</v>
      </c>
      <c r="F742" s="37"/>
    </row>
    <row r="743" spans="1:6" ht="39.049999999999997" customHeight="1">
      <c r="A743" s="29"/>
      <c r="B743" s="36"/>
      <c r="C743" s="37">
        <v>0</v>
      </c>
      <c r="D743" s="38"/>
      <c r="E743" s="37">
        <f ca="1"/>
        <v>0</v>
      </c>
      <c r="F743" s="37"/>
    </row>
    <row r="744" spans="1:6" ht="39.049999999999997" customHeight="1">
      <c r="A744" s="29"/>
      <c r="B744" s="36"/>
      <c r="C744" s="37">
        <v>0</v>
      </c>
      <c r="D744" s="38"/>
      <c r="E744" s="37">
        <f ca="1"/>
        <v>0</v>
      </c>
      <c r="F744" s="37"/>
    </row>
    <row r="745" spans="1:6" ht="39.049999999999997" customHeight="1">
      <c r="A745" s="29"/>
      <c r="B745" s="36"/>
      <c r="C745" s="37">
        <v>0</v>
      </c>
      <c r="D745" s="38"/>
      <c r="E745" s="37">
        <f ca="1"/>
        <v>0</v>
      </c>
      <c r="F745" s="37"/>
    </row>
    <row r="746" spans="1:6" ht="39.049999999999997" customHeight="1">
      <c r="A746" s="29"/>
      <c r="B746" s="36"/>
      <c r="C746" s="37">
        <v>0</v>
      </c>
      <c r="D746" s="38"/>
      <c r="E746" s="37">
        <f ca="1"/>
        <v>0</v>
      </c>
      <c r="F746" s="37"/>
    </row>
    <row r="747" spans="1:6" ht="39.049999999999997" customHeight="1">
      <c r="A747" s="29"/>
      <c r="B747" s="36"/>
      <c r="C747" s="37">
        <v>0</v>
      </c>
      <c r="D747" s="38"/>
      <c r="E747" s="37">
        <f ca="1"/>
        <v>0</v>
      </c>
      <c r="F747" s="37"/>
    </row>
    <row r="748" spans="1:6" ht="39.049999999999997" customHeight="1">
      <c r="A748" s="29"/>
      <c r="B748" s="36"/>
      <c r="C748" s="37">
        <v>0</v>
      </c>
      <c r="D748" s="38"/>
      <c r="E748" s="37">
        <f ca="1"/>
        <v>0</v>
      </c>
      <c r="F748" s="37"/>
    </row>
    <row r="749" spans="1:6" ht="39.049999999999997" customHeight="1">
      <c r="A749" s="29"/>
      <c r="B749" s="36"/>
      <c r="C749" s="37">
        <v>0</v>
      </c>
      <c r="D749" s="38"/>
      <c r="E749" s="37">
        <f ca="1"/>
        <v>0</v>
      </c>
      <c r="F749" s="37"/>
    </row>
    <row r="750" spans="1:6" ht="39.049999999999997" customHeight="1">
      <c r="A750" s="29"/>
      <c r="B750" s="36"/>
      <c r="C750" s="37">
        <v>0</v>
      </c>
      <c r="D750" s="38"/>
      <c r="E750" s="37">
        <f ca="1"/>
        <v>0</v>
      </c>
      <c r="F750" s="37"/>
    </row>
    <row r="751" spans="1:6" ht="39.049999999999997" customHeight="1">
      <c r="A751" s="29"/>
      <c r="B751" s="36"/>
      <c r="C751" s="37">
        <v>0</v>
      </c>
      <c r="D751" s="38"/>
      <c r="E751" s="37">
        <f ca="1"/>
        <v>0</v>
      </c>
      <c r="F751" s="37"/>
    </row>
    <row r="752" spans="1:6" ht="39.049999999999997" customHeight="1">
      <c r="A752" s="29"/>
      <c r="B752" s="36"/>
      <c r="C752" s="37">
        <v>0</v>
      </c>
      <c r="D752" s="38"/>
      <c r="E752" s="37">
        <f ca="1"/>
        <v>0</v>
      </c>
      <c r="F752" s="37"/>
    </row>
    <row r="753" spans="1:6" ht="39.049999999999997" customHeight="1">
      <c r="A753" s="29"/>
      <c r="B753" s="36"/>
      <c r="C753" s="37">
        <v>0</v>
      </c>
      <c r="D753" s="38"/>
      <c r="E753" s="37">
        <f ca="1"/>
        <v>0</v>
      </c>
      <c r="F753" s="37"/>
    </row>
    <row r="754" spans="1:6" ht="39.049999999999997" customHeight="1">
      <c r="A754" s="29"/>
      <c r="B754" s="36"/>
      <c r="C754" s="37">
        <v>0</v>
      </c>
      <c r="D754" s="38"/>
      <c r="E754" s="37">
        <f ca="1"/>
        <v>0</v>
      </c>
      <c r="F754" s="37"/>
    </row>
    <row r="755" spans="1:6" ht="39.049999999999997" customHeight="1">
      <c r="A755" s="29"/>
      <c r="B755" s="36"/>
      <c r="C755" s="37">
        <v>0</v>
      </c>
      <c r="D755" s="38"/>
      <c r="E755" s="37">
        <f ca="1"/>
        <v>0</v>
      </c>
      <c r="F755" s="37"/>
    </row>
    <row r="756" spans="1:6" ht="39.049999999999997" customHeight="1">
      <c r="A756" s="29"/>
      <c r="B756" s="36"/>
      <c r="C756" s="37">
        <v>0</v>
      </c>
      <c r="D756" s="38"/>
      <c r="E756" s="37">
        <f ca="1"/>
        <v>0</v>
      </c>
      <c r="F756" s="37"/>
    </row>
    <row r="757" spans="1:6" ht="39.049999999999997" customHeight="1">
      <c r="A757" s="29"/>
      <c r="B757" s="36"/>
      <c r="C757" s="37">
        <v>0</v>
      </c>
      <c r="D757" s="38"/>
      <c r="E757" s="37">
        <f ca="1"/>
        <v>0</v>
      </c>
      <c r="F757" s="37"/>
    </row>
    <row r="758" spans="1:6" ht="39.049999999999997" customHeight="1">
      <c r="A758" s="29"/>
      <c r="B758" s="36"/>
      <c r="C758" s="37">
        <v>0</v>
      </c>
      <c r="D758" s="38"/>
      <c r="E758" s="37">
        <f ca="1"/>
        <v>0</v>
      </c>
      <c r="F758" s="37"/>
    </row>
    <row r="759" spans="1:6" ht="39.049999999999997" customHeight="1">
      <c r="A759" s="29"/>
      <c r="B759" s="36"/>
      <c r="C759" s="37">
        <v>0</v>
      </c>
      <c r="D759" s="38"/>
      <c r="E759" s="37">
        <f ca="1"/>
        <v>0</v>
      </c>
      <c r="F759" s="37"/>
    </row>
    <row r="760" spans="1:6" ht="39.049999999999997" customHeight="1">
      <c r="A760" s="29"/>
      <c r="B760" s="36"/>
      <c r="C760" s="37">
        <v>0</v>
      </c>
      <c r="D760" s="38"/>
      <c r="E760" s="37">
        <f ca="1"/>
        <v>0</v>
      </c>
      <c r="F760" s="37"/>
    </row>
    <row r="761" spans="1:6" ht="39.049999999999997" customHeight="1">
      <c r="A761" s="29"/>
      <c r="B761" s="36"/>
      <c r="C761" s="37">
        <v>0</v>
      </c>
      <c r="D761" s="38"/>
      <c r="E761" s="37">
        <f ca="1"/>
        <v>0</v>
      </c>
      <c r="F761" s="37"/>
    </row>
    <row r="762" spans="1:6" ht="39.049999999999997" customHeight="1">
      <c r="A762" s="29"/>
      <c r="B762" s="36"/>
      <c r="C762" s="37">
        <v>0</v>
      </c>
      <c r="D762" s="38"/>
      <c r="E762" s="37">
        <f ca="1"/>
        <v>0</v>
      </c>
      <c r="F762" s="37"/>
    </row>
    <row r="763" spans="1:6" ht="39.049999999999997" customHeight="1">
      <c r="A763" s="29"/>
      <c r="B763" s="36"/>
      <c r="C763" s="37">
        <v>0</v>
      </c>
      <c r="D763" s="38"/>
      <c r="E763" s="37">
        <f ca="1"/>
        <v>0</v>
      </c>
      <c r="F763" s="37"/>
    </row>
    <row r="764" spans="1:6" ht="39.049999999999997" customHeight="1">
      <c r="A764" s="29"/>
      <c r="B764" s="36"/>
      <c r="C764" s="37">
        <v>0</v>
      </c>
      <c r="D764" s="38"/>
      <c r="E764" s="37">
        <f ca="1"/>
        <v>0</v>
      </c>
      <c r="F764" s="37"/>
    </row>
    <row r="765" spans="1:6" ht="39.049999999999997" customHeight="1">
      <c r="A765" s="29"/>
      <c r="B765" s="36"/>
      <c r="C765" s="37">
        <v>0</v>
      </c>
      <c r="D765" s="38"/>
      <c r="E765" s="37">
        <f ca="1"/>
        <v>0</v>
      </c>
      <c r="F765" s="37"/>
    </row>
    <row r="766" spans="1:6" ht="39.049999999999997" customHeight="1">
      <c r="A766" s="29"/>
      <c r="B766" s="36"/>
      <c r="C766" s="37">
        <v>0</v>
      </c>
      <c r="D766" s="38"/>
      <c r="E766" s="37">
        <f ca="1"/>
        <v>0</v>
      </c>
      <c r="F766" s="37"/>
    </row>
    <row r="767" spans="1:6" ht="39.049999999999997" customHeight="1">
      <c r="A767" s="29"/>
      <c r="B767" s="36"/>
      <c r="C767" s="37">
        <v>0</v>
      </c>
      <c r="D767" s="38"/>
      <c r="E767" s="37">
        <f ca="1"/>
        <v>0</v>
      </c>
      <c r="F767" s="37"/>
    </row>
    <row r="768" spans="1:6" ht="39.049999999999997" customHeight="1">
      <c r="A768" s="29"/>
      <c r="B768" s="36"/>
      <c r="C768" s="37">
        <v>0</v>
      </c>
      <c r="D768" s="38"/>
      <c r="E768" s="37">
        <f ca="1"/>
        <v>0</v>
      </c>
      <c r="F768" s="37"/>
    </row>
    <row r="769" spans="1:6" ht="39.049999999999997" customHeight="1">
      <c r="A769" s="29"/>
      <c r="B769" s="36"/>
      <c r="C769" s="37">
        <v>0</v>
      </c>
      <c r="D769" s="38"/>
      <c r="E769" s="37">
        <f ca="1"/>
        <v>0</v>
      </c>
      <c r="F769" s="37"/>
    </row>
    <row r="770" spans="1:6" ht="39.049999999999997" customHeight="1">
      <c r="A770" s="29"/>
      <c r="B770" s="36"/>
      <c r="C770" s="37">
        <v>0</v>
      </c>
      <c r="D770" s="38"/>
      <c r="E770" s="37">
        <f ca="1"/>
        <v>0</v>
      </c>
      <c r="F770" s="37"/>
    </row>
    <row r="771" spans="1:6" ht="39.049999999999997" customHeight="1">
      <c r="A771" s="29"/>
      <c r="B771" s="36"/>
      <c r="C771" s="37">
        <v>0</v>
      </c>
      <c r="D771" s="38"/>
      <c r="E771" s="37">
        <f ca="1"/>
        <v>0</v>
      </c>
      <c r="F771" s="37"/>
    </row>
    <row r="772" spans="1:6" ht="39.049999999999997" customHeight="1">
      <c r="A772" s="29"/>
      <c r="B772" s="36"/>
      <c r="C772" s="37">
        <v>0</v>
      </c>
      <c r="D772" s="38"/>
      <c r="E772" s="37">
        <f ca="1"/>
        <v>0</v>
      </c>
      <c r="F772" s="37"/>
    </row>
    <row r="773" spans="1:6" ht="39.049999999999997" customHeight="1">
      <c r="A773" s="29"/>
      <c r="B773" s="36"/>
      <c r="C773" s="37">
        <v>0</v>
      </c>
      <c r="D773" s="38"/>
      <c r="E773" s="37">
        <f ca="1"/>
        <v>0</v>
      </c>
      <c r="F773" s="37"/>
    </row>
    <row r="774" spans="1:6" ht="39.049999999999997" customHeight="1">
      <c r="A774" s="29"/>
      <c r="B774" s="36"/>
      <c r="C774" s="37">
        <v>0</v>
      </c>
      <c r="D774" s="38"/>
      <c r="E774" s="37">
        <f ca="1"/>
        <v>0</v>
      </c>
      <c r="F774" s="37"/>
    </row>
    <row r="775" spans="1:6" ht="39.049999999999997" customHeight="1">
      <c r="A775" s="29"/>
      <c r="B775" s="36"/>
      <c r="C775" s="37">
        <v>0</v>
      </c>
      <c r="D775" s="38"/>
      <c r="E775" s="37">
        <f ca="1"/>
        <v>0</v>
      </c>
      <c r="F775" s="37"/>
    </row>
    <row r="776" spans="1:6" ht="39.049999999999997" customHeight="1">
      <c r="A776" s="29"/>
      <c r="B776" s="36"/>
      <c r="C776" s="37">
        <v>0</v>
      </c>
      <c r="D776" s="38"/>
      <c r="E776" s="37">
        <f ca="1"/>
        <v>0</v>
      </c>
      <c r="F776" s="37"/>
    </row>
    <row r="777" spans="1:6" ht="39.049999999999997" customHeight="1">
      <c r="A777" s="29"/>
      <c r="B777" s="36"/>
      <c r="C777" s="37">
        <v>0</v>
      </c>
      <c r="D777" s="38"/>
      <c r="E777" s="37">
        <f ca="1"/>
        <v>0</v>
      </c>
      <c r="F777" s="37"/>
    </row>
    <row r="778" spans="1:6" ht="39.049999999999997" customHeight="1">
      <c r="A778" s="29"/>
      <c r="B778" s="36"/>
      <c r="C778" s="37">
        <v>0</v>
      </c>
      <c r="D778" s="38"/>
      <c r="E778" s="37">
        <f ca="1"/>
        <v>0</v>
      </c>
      <c r="F778" s="37"/>
    </row>
    <row r="779" spans="1:6" ht="39.049999999999997" customHeight="1">
      <c r="A779" s="29"/>
      <c r="B779" s="36"/>
      <c r="C779" s="37">
        <v>0</v>
      </c>
      <c r="D779" s="38"/>
      <c r="E779" s="37">
        <f ca="1"/>
        <v>0</v>
      </c>
      <c r="F779" s="37"/>
    </row>
    <row r="780" spans="1:6" ht="39.049999999999997" customHeight="1">
      <c r="A780" s="29"/>
      <c r="B780" s="36"/>
      <c r="C780" s="37">
        <v>0</v>
      </c>
      <c r="D780" s="38"/>
      <c r="E780" s="37">
        <f ca="1"/>
        <v>0</v>
      </c>
      <c r="F780" s="37"/>
    </row>
    <row r="781" spans="1:6" ht="39.049999999999997" customHeight="1">
      <c r="A781" s="29"/>
      <c r="B781" s="36"/>
      <c r="C781" s="37">
        <v>0</v>
      </c>
      <c r="D781" s="38"/>
      <c r="E781" s="37">
        <f ca="1"/>
        <v>0</v>
      </c>
      <c r="F781" s="37"/>
    </row>
    <row r="782" spans="1:6" ht="39.049999999999997" customHeight="1">
      <c r="A782" s="29"/>
      <c r="B782" s="36"/>
      <c r="C782" s="37">
        <v>0</v>
      </c>
      <c r="D782" s="38"/>
      <c r="E782" s="37">
        <f ca="1"/>
        <v>0</v>
      </c>
      <c r="F782" s="37"/>
    </row>
    <row r="783" spans="1:6" ht="39.049999999999997" customHeight="1">
      <c r="A783" s="29"/>
      <c r="B783" s="36"/>
      <c r="C783" s="37">
        <v>0</v>
      </c>
      <c r="D783" s="38"/>
      <c r="E783" s="37">
        <f ca="1"/>
        <v>0</v>
      </c>
      <c r="F783" s="37"/>
    </row>
    <row r="784" spans="1:6" ht="39.049999999999997" customHeight="1">
      <c r="A784" s="29"/>
      <c r="B784" s="36"/>
      <c r="C784" s="37">
        <v>0</v>
      </c>
      <c r="D784" s="38"/>
      <c r="E784" s="37">
        <f ca="1"/>
        <v>0</v>
      </c>
      <c r="F784" s="37"/>
    </row>
    <row r="785" spans="1:6" ht="39.049999999999997" customHeight="1">
      <c r="A785" s="29"/>
      <c r="B785" s="36"/>
      <c r="C785" s="37">
        <v>0</v>
      </c>
      <c r="D785" s="38"/>
      <c r="E785" s="37">
        <f ca="1"/>
        <v>0</v>
      </c>
      <c r="F785" s="37"/>
    </row>
    <row r="786" spans="1:6" ht="39.049999999999997" customHeight="1">
      <c r="A786" s="29"/>
      <c r="B786" s="36"/>
      <c r="C786" s="37">
        <v>0</v>
      </c>
      <c r="D786" s="38"/>
      <c r="E786" s="37">
        <f ca="1"/>
        <v>0</v>
      </c>
      <c r="F786" s="37"/>
    </row>
    <row r="787" spans="1:6" ht="39.049999999999997" customHeight="1">
      <c r="A787" s="29"/>
      <c r="B787" s="36"/>
      <c r="C787" s="37">
        <v>0</v>
      </c>
      <c r="D787" s="38"/>
      <c r="E787" s="37">
        <f ca="1"/>
        <v>0</v>
      </c>
      <c r="F787" s="37"/>
    </row>
    <row r="788" spans="1:6" ht="39.049999999999997" customHeight="1">
      <c r="A788" s="29"/>
      <c r="B788" s="36"/>
      <c r="C788" s="37">
        <v>0</v>
      </c>
      <c r="D788" s="38"/>
      <c r="E788" s="37">
        <f ca="1"/>
        <v>0</v>
      </c>
      <c r="F788" s="37"/>
    </row>
    <row r="789" spans="1:6" ht="39.049999999999997" customHeight="1">
      <c r="A789" s="29"/>
      <c r="B789" s="36"/>
      <c r="C789" s="37">
        <v>0</v>
      </c>
      <c r="D789" s="38"/>
      <c r="E789" s="37">
        <f ca="1"/>
        <v>0</v>
      </c>
      <c r="F789" s="37"/>
    </row>
    <row r="790" spans="1:6" ht="39.049999999999997" customHeight="1">
      <c r="A790" s="29"/>
      <c r="B790" s="36"/>
      <c r="C790" s="37">
        <v>0</v>
      </c>
      <c r="D790" s="38"/>
      <c r="E790" s="37">
        <f ca="1"/>
        <v>0</v>
      </c>
      <c r="F790" s="37"/>
    </row>
    <row r="791" spans="1:6" ht="39.049999999999997" customHeight="1">
      <c r="A791" s="29"/>
      <c r="B791" s="36"/>
      <c r="C791" s="37">
        <v>0</v>
      </c>
      <c r="D791" s="38"/>
      <c r="E791" s="37">
        <f ca="1"/>
        <v>0</v>
      </c>
      <c r="F791" s="37"/>
    </row>
    <row r="792" spans="1:6" ht="39.049999999999997" customHeight="1">
      <c r="A792" s="29"/>
      <c r="B792" s="36"/>
      <c r="C792" s="37">
        <v>0</v>
      </c>
      <c r="D792" s="38"/>
      <c r="E792" s="37">
        <f ca="1"/>
        <v>0</v>
      </c>
      <c r="F792" s="37"/>
    </row>
    <row r="793" spans="1:6" ht="39.049999999999997" customHeight="1">
      <c r="A793" s="29"/>
      <c r="B793" s="36"/>
      <c r="C793" s="37">
        <v>0</v>
      </c>
      <c r="D793" s="38"/>
      <c r="E793" s="37">
        <f ca="1"/>
        <v>0</v>
      </c>
      <c r="F793" s="37"/>
    </row>
    <row r="794" spans="1:6" ht="39.049999999999997" customHeight="1">
      <c r="A794" s="29"/>
      <c r="B794" s="36"/>
      <c r="C794" s="37">
        <v>0</v>
      </c>
      <c r="D794" s="38"/>
      <c r="E794" s="37">
        <f ca="1"/>
        <v>0</v>
      </c>
      <c r="F794" s="37"/>
    </row>
    <row r="795" spans="1:6" ht="39.049999999999997" customHeight="1">
      <c r="A795" s="29"/>
      <c r="B795" s="36"/>
      <c r="C795" s="37">
        <v>0</v>
      </c>
      <c r="D795" s="38"/>
      <c r="E795" s="37">
        <f ca="1"/>
        <v>0</v>
      </c>
      <c r="F795" s="37"/>
    </row>
    <row r="796" spans="1:6" ht="39.049999999999997" customHeight="1">
      <c r="A796" s="29"/>
      <c r="B796" s="36"/>
      <c r="C796" s="37">
        <v>0</v>
      </c>
      <c r="D796" s="38"/>
      <c r="E796" s="37">
        <f ca="1"/>
        <v>0</v>
      </c>
      <c r="F796" s="37"/>
    </row>
    <row r="797" spans="1:6" ht="39.049999999999997" customHeight="1">
      <c r="A797" s="29"/>
      <c r="B797" s="36"/>
      <c r="C797" s="37">
        <v>0</v>
      </c>
      <c r="D797" s="38"/>
      <c r="E797" s="37">
        <f ca="1"/>
        <v>0</v>
      </c>
      <c r="F797" s="37"/>
    </row>
    <row r="798" spans="1:6" ht="39.049999999999997" customHeight="1">
      <c r="A798" s="29"/>
      <c r="B798" s="36"/>
      <c r="C798" s="37">
        <v>0</v>
      </c>
      <c r="D798" s="38"/>
      <c r="E798" s="37">
        <f ca="1"/>
        <v>0</v>
      </c>
      <c r="F798" s="37"/>
    </row>
    <row r="799" spans="1:6" ht="39.049999999999997" customHeight="1">
      <c r="A799" s="29"/>
      <c r="B799" s="36"/>
      <c r="C799" s="37">
        <v>0</v>
      </c>
      <c r="D799" s="38"/>
      <c r="E799" s="37">
        <f ca="1"/>
        <v>0</v>
      </c>
      <c r="F799" s="37"/>
    </row>
    <row r="800" spans="1:6" ht="39.049999999999997" customHeight="1">
      <c r="A800" s="29"/>
      <c r="B800" s="36"/>
      <c r="C800" s="37">
        <v>0</v>
      </c>
      <c r="D800" s="38"/>
      <c r="E800" s="37">
        <f ca="1"/>
        <v>0</v>
      </c>
      <c r="F800" s="37"/>
    </row>
    <row r="801" spans="1:6" ht="39.049999999999997" customHeight="1">
      <c r="A801" s="29"/>
      <c r="B801" s="36"/>
      <c r="C801" s="37">
        <v>0</v>
      </c>
      <c r="D801" s="38"/>
      <c r="E801" s="37">
        <f ca="1"/>
        <v>0</v>
      </c>
      <c r="F801" s="37"/>
    </row>
    <row r="802" spans="1:6" ht="39.049999999999997" customHeight="1">
      <c r="A802" s="29"/>
      <c r="B802" s="36"/>
      <c r="C802" s="37">
        <v>0</v>
      </c>
      <c r="D802" s="38"/>
      <c r="E802" s="37">
        <f ca="1"/>
        <v>0</v>
      </c>
      <c r="F802" s="37"/>
    </row>
    <row r="803" spans="1:6" ht="39.049999999999997" customHeight="1">
      <c r="A803" s="29"/>
      <c r="B803" s="36"/>
      <c r="C803" s="37">
        <v>0</v>
      </c>
      <c r="D803" s="38"/>
      <c r="E803" s="37">
        <f ca="1"/>
        <v>0</v>
      </c>
      <c r="F803" s="37"/>
    </row>
    <row r="804" spans="1:6" ht="39.049999999999997" customHeight="1">
      <c r="A804" s="29"/>
      <c r="B804" s="36"/>
      <c r="C804" s="37">
        <v>0</v>
      </c>
      <c r="D804" s="38"/>
      <c r="E804" s="37">
        <f ca="1"/>
        <v>0</v>
      </c>
      <c r="F804" s="37"/>
    </row>
    <row r="805" spans="1:6" ht="39.049999999999997" customHeight="1">
      <c r="A805" s="29"/>
      <c r="B805" s="36"/>
      <c r="C805" s="37">
        <v>0</v>
      </c>
      <c r="D805" s="38"/>
      <c r="E805" s="37">
        <f ca="1"/>
        <v>0</v>
      </c>
      <c r="F805" s="37"/>
    </row>
    <row r="806" spans="1:6" ht="39.049999999999997" customHeight="1">
      <c r="A806" s="29"/>
      <c r="B806" s="36"/>
      <c r="C806" s="37">
        <v>0</v>
      </c>
      <c r="D806" s="38"/>
      <c r="E806" s="37">
        <f ca="1"/>
        <v>0</v>
      </c>
      <c r="F806" s="37"/>
    </row>
    <row r="807" spans="1:6" ht="39.049999999999997" customHeight="1">
      <c r="A807" s="29"/>
      <c r="B807" s="36"/>
      <c r="C807" s="37">
        <v>0</v>
      </c>
      <c r="D807" s="38"/>
      <c r="E807" s="37">
        <f ca="1"/>
        <v>0</v>
      </c>
      <c r="F807" s="37"/>
    </row>
    <row r="808" spans="1:6" ht="39.049999999999997" customHeight="1">
      <c r="A808" s="29"/>
      <c r="B808" s="36"/>
      <c r="C808" s="37">
        <v>0</v>
      </c>
      <c r="D808" s="38"/>
      <c r="E808" s="37">
        <f ca="1"/>
        <v>0</v>
      </c>
      <c r="F808" s="37"/>
    </row>
    <row r="809" spans="1:6" ht="39.049999999999997" customHeight="1">
      <c r="A809" s="29"/>
      <c r="B809" s="36"/>
      <c r="C809" s="37">
        <v>0</v>
      </c>
      <c r="D809" s="38"/>
      <c r="E809" s="37">
        <f ca="1"/>
        <v>0</v>
      </c>
      <c r="F809" s="37"/>
    </row>
    <row r="810" spans="1:6" ht="39.049999999999997" customHeight="1">
      <c r="A810" s="29"/>
      <c r="B810" s="36"/>
      <c r="C810" s="37">
        <v>0</v>
      </c>
      <c r="D810" s="38"/>
      <c r="E810" s="37">
        <f ca="1"/>
        <v>0</v>
      </c>
      <c r="F810" s="37"/>
    </row>
    <row r="811" spans="1:6" ht="39.049999999999997" customHeight="1">
      <c r="A811" s="29"/>
      <c r="B811" s="36"/>
      <c r="C811" s="37">
        <v>0</v>
      </c>
      <c r="D811" s="38"/>
      <c r="E811" s="37">
        <f ca="1"/>
        <v>0</v>
      </c>
      <c r="F811" s="37"/>
    </row>
    <row r="812" spans="1:6" ht="39.049999999999997" customHeight="1">
      <c r="A812" s="29"/>
      <c r="B812" s="36"/>
      <c r="C812" s="37">
        <v>0</v>
      </c>
      <c r="D812" s="38"/>
      <c r="E812" s="37">
        <f ca="1"/>
        <v>0</v>
      </c>
      <c r="F812" s="37"/>
    </row>
    <row r="813" spans="1:6" ht="39.049999999999997" customHeight="1">
      <c r="A813" s="29"/>
      <c r="B813" s="36"/>
      <c r="C813" s="37">
        <v>0</v>
      </c>
      <c r="D813" s="38"/>
      <c r="E813" s="37">
        <f ca="1"/>
        <v>0</v>
      </c>
      <c r="F813" s="37"/>
    </row>
    <row r="814" spans="1:6" ht="39.049999999999997" customHeight="1">
      <c r="A814" s="29"/>
      <c r="B814" s="36"/>
      <c r="C814" s="37">
        <v>0</v>
      </c>
      <c r="D814" s="38"/>
      <c r="E814" s="37">
        <f ca="1"/>
        <v>0</v>
      </c>
      <c r="F814" s="37"/>
    </row>
    <row r="815" spans="1:6" ht="39.049999999999997" customHeight="1">
      <c r="A815" s="29"/>
      <c r="B815" s="36"/>
      <c r="C815" s="37">
        <v>0</v>
      </c>
      <c r="D815" s="38"/>
      <c r="E815" s="37">
        <f ca="1"/>
        <v>0</v>
      </c>
      <c r="F815" s="37"/>
    </row>
    <row r="816" spans="1:6" ht="39.049999999999997" customHeight="1">
      <c r="A816" s="29"/>
      <c r="B816" s="36"/>
      <c r="C816" s="37">
        <v>0</v>
      </c>
      <c r="D816" s="38"/>
      <c r="E816" s="37">
        <f ca="1"/>
        <v>0</v>
      </c>
      <c r="F816" s="37"/>
    </row>
    <row r="817" spans="1:6" ht="39.049999999999997" customHeight="1">
      <c r="A817" s="29"/>
      <c r="B817" s="36"/>
      <c r="C817" s="37">
        <v>0</v>
      </c>
      <c r="D817" s="38"/>
      <c r="E817" s="37">
        <f ca="1"/>
        <v>0</v>
      </c>
      <c r="F817" s="37"/>
    </row>
    <row r="818" spans="1:6" ht="39.049999999999997" customHeight="1">
      <c r="A818" s="29"/>
      <c r="B818" s="36"/>
      <c r="C818" s="37">
        <v>0</v>
      </c>
      <c r="D818" s="38"/>
      <c r="E818" s="37">
        <f ca="1"/>
        <v>0</v>
      </c>
      <c r="F818" s="37"/>
    </row>
    <row r="819" spans="1:6" ht="39.049999999999997" customHeight="1">
      <c r="A819" s="29"/>
      <c r="B819" s="36"/>
      <c r="C819" s="37">
        <v>0</v>
      </c>
      <c r="D819" s="38"/>
      <c r="E819" s="37">
        <f ca="1"/>
        <v>0</v>
      </c>
      <c r="F819" s="37"/>
    </row>
    <row r="820" spans="1:6" ht="39.049999999999997" customHeight="1">
      <c r="A820" s="29"/>
      <c r="B820" s="36"/>
      <c r="C820" s="37">
        <v>0</v>
      </c>
      <c r="D820" s="38"/>
      <c r="E820" s="37">
        <f ca="1"/>
        <v>0</v>
      </c>
      <c r="F820" s="37"/>
    </row>
    <row r="821" spans="1:6" ht="39.049999999999997" customHeight="1">
      <c r="A821" s="29"/>
      <c r="B821" s="36"/>
      <c r="C821" s="37">
        <v>0</v>
      </c>
      <c r="D821" s="38"/>
      <c r="E821" s="37">
        <f ca="1"/>
        <v>0</v>
      </c>
      <c r="F821" s="37"/>
    </row>
    <row r="822" spans="1:6" ht="39.049999999999997" customHeight="1">
      <c r="A822" s="29"/>
      <c r="B822" s="36"/>
      <c r="C822" s="37">
        <v>0</v>
      </c>
      <c r="D822" s="38"/>
      <c r="E822" s="37">
        <f ca="1"/>
        <v>0</v>
      </c>
      <c r="F822" s="37"/>
    </row>
    <row r="823" spans="1:6" ht="39.049999999999997" customHeight="1">
      <c r="A823" s="29"/>
      <c r="B823" s="36"/>
      <c r="C823" s="37">
        <v>0</v>
      </c>
      <c r="D823" s="38"/>
      <c r="E823" s="37">
        <f ca="1"/>
        <v>0</v>
      </c>
      <c r="F823" s="37"/>
    </row>
    <row r="824" spans="1:6" ht="39.049999999999997" customHeight="1">
      <c r="A824" s="29"/>
      <c r="B824" s="36"/>
      <c r="C824" s="37">
        <v>0</v>
      </c>
      <c r="D824" s="38"/>
      <c r="E824" s="37">
        <f ca="1"/>
        <v>0</v>
      </c>
      <c r="F824" s="37"/>
    </row>
    <row r="825" spans="1:6" ht="39.049999999999997" customHeight="1">
      <c r="A825" s="29"/>
      <c r="B825" s="36"/>
      <c r="C825" s="37">
        <v>0</v>
      </c>
      <c r="D825" s="38"/>
      <c r="E825" s="37">
        <f ca="1"/>
        <v>0</v>
      </c>
      <c r="F825" s="37"/>
    </row>
    <row r="826" spans="1:6" ht="39.049999999999997" customHeight="1">
      <c r="A826" s="29"/>
      <c r="B826" s="36"/>
      <c r="C826" s="37">
        <v>0</v>
      </c>
      <c r="D826" s="38"/>
      <c r="E826" s="37">
        <f ca="1"/>
        <v>0</v>
      </c>
      <c r="F826" s="37"/>
    </row>
    <row r="827" spans="1:6" ht="39.049999999999997" customHeight="1">
      <c r="A827" s="29"/>
      <c r="B827" s="36"/>
      <c r="C827" s="37">
        <v>0</v>
      </c>
      <c r="D827" s="38"/>
      <c r="E827" s="37">
        <f ca="1"/>
        <v>0</v>
      </c>
      <c r="F827" s="37"/>
    </row>
    <row r="828" spans="1:6" ht="39.049999999999997" customHeight="1">
      <c r="A828" s="29"/>
      <c r="B828" s="36"/>
      <c r="C828" s="37">
        <v>0</v>
      </c>
      <c r="D828" s="38"/>
      <c r="E828" s="37">
        <f ca="1"/>
        <v>0</v>
      </c>
      <c r="F828" s="37"/>
    </row>
    <row r="829" spans="1:6" ht="39.049999999999997" customHeight="1">
      <c r="A829" s="29"/>
      <c r="B829" s="36"/>
      <c r="C829" s="37">
        <v>0</v>
      </c>
      <c r="D829" s="38"/>
      <c r="E829" s="37">
        <f ca="1"/>
        <v>0</v>
      </c>
      <c r="F829" s="37"/>
    </row>
    <row r="830" spans="1:6" ht="39.049999999999997" customHeight="1">
      <c r="A830" s="29"/>
      <c r="B830" s="36"/>
      <c r="C830" s="37">
        <v>0</v>
      </c>
      <c r="D830" s="38"/>
      <c r="E830" s="37">
        <f ca="1"/>
        <v>0</v>
      </c>
      <c r="F830" s="37"/>
    </row>
    <row r="831" spans="1:6" ht="39.049999999999997" customHeight="1">
      <c r="A831" s="29"/>
      <c r="B831" s="36"/>
      <c r="C831" s="37">
        <v>0</v>
      </c>
      <c r="D831" s="38"/>
      <c r="E831" s="37">
        <f ca="1"/>
        <v>0</v>
      </c>
      <c r="F831" s="37"/>
    </row>
    <row r="832" spans="1:6" ht="39.049999999999997" customHeight="1">
      <c r="A832" s="29"/>
      <c r="B832" s="36"/>
      <c r="C832" s="37">
        <v>0</v>
      </c>
      <c r="D832" s="38"/>
      <c r="E832" s="37">
        <f ca="1"/>
        <v>0</v>
      </c>
      <c r="F832" s="37"/>
    </row>
    <row r="833" spans="1:6" ht="39.049999999999997" customHeight="1">
      <c r="A833" s="29"/>
      <c r="B833" s="36"/>
      <c r="C833" s="37">
        <v>0</v>
      </c>
      <c r="D833" s="38"/>
      <c r="E833" s="37">
        <f ca="1"/>
        <v>0</v>
      </c>
      <c r="F833" s="37"/>
    </row>
    <row r="834" spans="1:6" ht="39.049999999999997" customHeight="1">
      <c r="A834" s="29"/>
      <c r="B834" s="36"/>
      <c r="C834" s="37">
        <v>0</v>
      </c>
      <c r="D834" s="38"/>
      <c r="E834" s="37">
        <f ca="1"/>
        <v>0</v>
      </c>
      <c r="F834" s="37"/>
    </row>
    <row r="835" spans="1:6" ht="39.049999999999997" customHeight="1">
      <c r="A835" s="29"/>
      <c r="B835" s="36"/>
      <c r="C835" s="37">
        <v>0</v>
      </c>
      <c r="D835" s="38"/>
      <c r="E835" s="37">
        <f ca="1"/>
        <v>0</v>
      </c>
      <c r="F835" s="37"/>
    </row>
    <row r="836" spans="1:6" ht="39.049999999999997" customHeight="1">
      <c r="A836" s="29"/>
      <c r="B836" s="36"/>
      <c r="C836" s="37">
        <v>0</v>
      </c>
      <c r="D836" s="38"/>
      <c r="E836" s="37">
        <f ca="1"/>
        <v>0</v>
      </c>
      <c r="F836" s="37"/>
    </row>
    <row r="837" spans="1:6" ht="39.049999999999997" customHeight="1">
      <c r="A837" s="29"/>
      <c r="B837" s="36"/>
      <c r="C837" s="37">
        <v>0</v>
      </c>
      <c r="D837" s="38"/>
      <c r="E837" s="37">
        <f ca="1"/>
        <v>0</v>
      </c>
      <c r="F837" s="37"/>
    </row>
    <row r="838" spans="1:6" ht="39.049999999999997" customHeight="1">
      <c r="A838" s="29"/>
      <c r="B838" s="36"/>
      <c r="C838" s="37">
        <v>0</v>
      </c>
      <c r="D838" s="38"/>
      <c r="E838" s="37">
        <f ca="1"/>
        <v>0</v>
      </c>
      <c r="F838" s="37"/>
    </row>
    <row r="839" spans="1:6" ht="39.049999999999997" customHeight="1">
      <c r="A839" s="29"/>
      <c r="B839" s="36"/>
      <c r="C839" s="37">
        <v>0</v>
      </c>
      <c r="D839" s="38"/>
      <c r="E839" s="37">
        <f ca="1"/>
        <v>0</v>
      </c>
      <c r="F839" s="37"/>
    </row>
    <row r="840" spans="1:6" ht="39.049999999999997" customHeight="1">
      <c r="A840" s="29"/>
      <c r="B840" s="36"/>
      <c r="C840" s="37">
        <v>0</v>
      </c>
      <c r="D840" s="38"/>
      <c r="E840" s="37">
        <f ca="1"/>
        <v>0</v>
      </c>
      <c r="F840" s="37"/>
    </row>
    <row r="841" spans="1:6" ht="39.049999999999997" customHeight="1">
      <c r="A841" s="29"/>
      <c r="B841" s="36"/>
      <c r="C841" s="37">
        <v>0</v>
      </c>
      <c r="D841" s="38"/>
      <c r="E841" s="37">
        <f ca="1"/>
        <v>0</v>
      </c>
      <c r="F841" s="37"/>
    </row>
    <row r="842" spans="1:6" ht="39.049999999999997" customHeight="1">
      <c r="A842" s="29"/>
      <c r="B842" s="36"/>
      <c r="C842" s="37">
        <v>0</v>
      </c>
      <c r="D842" s="38"/>
      <c r="E842" s="37">
        <f ca="1"/>
        <v>0</v>
      </c>
      <c r="F842" s="37"/>
    </row>
    <row r="843" spans="1:6" ht="39.049999999999997" customHeight="1">
      <c r="A843" s="29"/>
      <c r="B843" s="36"/>
      <c r="C843" s="37">
        <v>0</v>
      </c>
      <c r="D843" s="38"/>
      <c r="E843" s="37">
        <f ca="1"/>
        <v>0</v>
      </c>
      <c r="F843" s="37"/>
    </row>
    <row r="844" spans="1:6" ht="39.049999999999997" customHeight="1">
      <c r="A844" s="29"/>
      <c r="B844" s="36"/>
      <c r="C844" s="37">
        <v>0</v>
      </c>
      <c r="D844" s="38"/>
      <c r="E844" s="37">
        <f ca="1"/>
        <v>0</v>
      </c>
      <c r="F844" s="37"/>
    </row>
    <row r="845" spans="1:6" ht="39.049999999999997" customHeight="1">
      <c r="A845" s="29"/>
      <c r="B845" s="36"/>
      <c r="C845" s="37">
        <v>0</v>
      </c>
      <c r="D845" s="38"/>
      <c r="E845" s="37">
        <f ca="1"/>
        <v>0</v>
      </c>
      <c r="F845" s="37"/>
    </row>
    <row r="846" spans="1:6" ht="39.049999999999997" customHeight="1">
      <c r="A846" s="29"/>
      <c r="B846" s="36"/>
      <c r="C846" s="37">
        <v>0</v>
      </c>
      <c r="D846" s="38"/>
      <c r="E846" s="37">
        <f ca="1"/>
        <v>0</v>
      </c>
      <c r="F846" s="37"/>
    </row>
    <row r="847" spans="1:6" ht="39.049999999999997" customHeight="1">
      <c r="A847" s="29"/>
      <c r="B847" s="36"/>
      <c r="C847" s="37">
        <v>0</v>
      </c>
      <c r="D847" s="38"/>
      <c r="E847" s="37">
        <f ca="1"/>
        <v>0</v>
      </c>
      <c r="F847" s="37"/>
    </row>
    <row r="848" spans="1:6" ht="39.049999999999997" customHeight="1">
      <c r="A848" s="29"/>
      <c r="B848" s="36"/>
      <c r="C848" s="37">
        <v>0</v>
      </c>
      <c r="D848" s="38"/>
      <c r="E848" s="37">
        <f ca="1"/>
        <v>0</v>
      </c>
      <c r="F848" s="37"/>
    </row>
    <row r="849" spans="1:6" ht="39.049999999999997" customHeight="1">
      <c r="A849" s="29"/>
      <c r="B849" s="36"/>
      <c r="C849" s="37">
        <v>0</v>
      </c>
      <c r="D849" s="38"/>
      <c r="E849" s="37">
        <f ca="1"/>
        <v>0</v>
      </c>
      <c r="F849" s="37"/>
    </row>
    <row r="850" spans="1:6" ht="39.049999999999997" customHeight="1">
      <c r="A850" s="29"/>
      <c r="B850" s="36"/>
      <c r="C850" s="37">
        <v>0</v>
      </c>
      <c r="D850" s="38"/>
      <c r="E850" s="37">
        <f ca="1"/>
        <v>0</v>
      </c>
      <c r="F850" s="37"/>
    </row>
    <row r="851" spans="1:6" ht="39.049999999999997" customHeight="1">
      <c r="A851" s="29"/>
      <c r="B851" s="36"/>
      <c r="C851" s="37">
        <v>0</v>
      </c>
      <c r="D851" s="38"/>
      <c r="E851" s="37">
        <f ca="1"/>
        <v>0</v>
      </c>
      <c r="F851" s="37"/>
    </row>
    <row r="852" spans="1:6" ht="39.049999999999997" customHeight="1">
      <c r="A852" s="29"/>
      <c r="B852" s="36"/>
      <c r="C852" s="37">
        <v>0</v>
      </c>
      <c r="D852" s="38"/>
      <c r="E852" s="37">
        <f ca="1"/>
        <v>0</v>
      </c>
      <c r="F852" s="37"/>
    </row>
    <row r="853" spans="1:6" ht="39.049999999999997" customHeight="1">
      <c r="A853" s="29"/>
      <c r="B853" s="36"/>
      <c r="C853" s="37">
        <v>0</v>
      </c>
      <c r="D853" s="38"/>
      <c r="E853" s="37">
        <f ca="1"/>
        <v>0</v>
      </c>
      <c r="F853" s="37"/>
    </row>
    <row r="854" spans="1:6" ht="39.049999999999997" customHeight="1">
      <c r="A854" s="29"/>
      <c r="B854" s="36"/>
      <c r="C854" s="37">
        <v>0</v>
      </c>
      <c r="D854" s="38"/>
      <c r="E854" s="37">
        <f ca="1"/>
        <v>0</v>
      </c>
      <c r="F854" s="37"/>
    </row>
    <row r="855" spans="1:6" ht="39.049999999999997" customHeight="1">
      <c r="A855" s="29"/>
      <c r="B855" s="36"/>
      <c r="C855" s="37">
        <v>0</v>
      </c>
      <c r="D855" s="38"/>
      <c r="E855" s="37">
        <f ca="1"/>
        <v>0</v>
      </c>
      <c r="F855" s="37"/>
    </row>
    <row r="856" spans="1:6" ht="39.049999999999997" customHeight="1">
      <c r="A856" s="29"/>
      <c r="B856" s="36"/>
      <c r="C856" s="37">
        <v>0</v>
      </c>
      <c r="D856" s="38"/>
      <c r="E856" s="37">
        <f ca="1"/>
        <v>0</v>
      </c>
      <c r="F856" s="37"/>
    </row>
    <row r="857" spans="1:6" ht="39.049999999999997" customHeight="1">
      <c r="A857" s="29"/>
      <c r="B857" s="36"/>
      <c r="C857" s="37">
        <v>0</v>
      </c>
      <c r="D857" s="38"/>
      <c r="E857" s="37">
        <f ca="1"/>
        <v>0</v>
      </c>
      <c r="F857" s="37"/>
    </row>
    <row r="858" spans="1:6" ht="39.049999999999997" customHeight="1">
      <c r="A858" s="29"/>
      <c r="B858" s="36"/>
      <c r="C858" s="37">
        <v>0</v>
      </c>
      <c r="D858" s="38"/>
      <c r="E858" s="37">
        <f ca="1"/>
        <v>0</v>
      </c>
      <c r="F858" s="37"/>
    </row>
    <row r="859" spans="1:6" ht="39.049999999999997" customHeight="1">
      <c r="A859" s="29"/>
      <c r="B859" s="36"/>
      <c r="C859" s="37">
        <v>0</v>
      </c>
      <c r="D859" s="38"/>
      <c r="E859" s="37">
        <f ca="1"/>
        <v>0</v>
      </c>
      <c r="F859" s="37"/>
    </row>
    <row r="860" spans="1:6" ht="39.049999999999997" customHeight="1">
      <c r="A860" s="29"/>
      <c r="B860" s="36"/>
      <c r="C860" s="37">
        <v>0</v>
      </c>
      <c r="D860" s="38"/>
      <c r="E860" s="37">
        <f ca="1"/>
        <v>0</v>
      </c>
      <c r="F860" s="37"/>
    </row>
    <row r="861" spans="1:6" ht="39.049999999999997" customHeight="1">
      <c r="A861" s="29"/>
      <c r="B861" s="36"/>
      <c r="C861" s="37">
        <v>0</v>
      </c>
      <c r="D861" s="38"/>
      <c r="E861" s="37">
        <f ca="1"/>
        <v>0</v>
      </c>
      <c r="F861" s="37"/>
    </row>
    <row r="862" spans="1:6" ht="39.049999999999997" customHeight="1">
      <c r="A862" s="29"/>
      <c r="B862" s="36"/>
      <c r="C862" s="37">
        <v>0</v>
      </c>
      <c r="D862" s="38"/>
      <c r="E862" s="37">
        <f ca="1"/>
        <v>0</v>
      </c>
      <c r="F862" s="37"/>
    </row>
    <row r="863" spans="1:6" ht="39.049999999999997" customHeight="1">
      <c r="A863" s="29"/>
      <c r="B863" s="36"/>
      <c r="C863" s="37">
        <v>0</v>
      </c>
      <c r="D863" s="38"/>
      <c r="E863" s="37">
        <f ca="1"/>
        <v>0</v>
      </c>
      <c r="F863" s="37"/>
    </row>
    <row r="864" spans="1:6" ht="39.049999999999997" customHeight="1">
      <c r="A864" s="29"/>
      <c r="B864" s="36"/>
      <c r="C864" s="37">
        <v>0</v>
      </c>
      <c r="D864" s="38"/>
      <c r="E864" s="37">
        <f ca="1"/>
        <v>0</v>
      </c>
      <c r="F864" s="37"/>
    </row>
    <row r="865" spans="1:6" ht="39.049999999999997" customHeight="1">
      <c r="A865" s="29"/>
      <c r="B865" s="36"/>
      <c r="C865" s="37">
        <v>0</v>
      </c>
      <c r="D865" s="38"/>
      <c r="E865" s="37">
        <f ca="1"/>
        <v>0</v>
      </c>
      <c r="F865" s="37"/>
    </row>
    <row r="866" spans="1:6" ht="39.049999999999997" customHeight="1">
      <c r="A866" s="29"/>
      <c r="B866" s="36"/>
      <c r="C866" s="37">
        <v>0</v>
      </c>
      <c r="D866" s="38"/>
      <c r="E866" s="37">
        <f ca="1"/>
        <v>0</v>
      </c>
      <c r="F866" s="37"/>
    </row>
    <row r="867" spans="1:6" ht="39.049999999999997" customHeight="1">
      <c r="A867" s="29"/>
      <c r="B867" s="36"/>
      <c r="C867" s="37">
        <v>0</v>
      </c>
      <c r="D867" s="38"/>
      <c r="E867" s="37">
        <f ca="1"/>
        <v>0</v>
      </c>
      <c r="F867" s="37"/>
    </row>
    <row r="868" spans="1:6" ht="39.049999999999997" customHeight="1">
      <c r="A868" s="29"/>
      <c r="B868" s="36"/>
      <c r="C868" s="37">
        <v>0</v>
      </c>
      <c r="D868" s="38"/>
      <c r="E868" s="37">
        <f ca="1"/>
        <v>0</v>
      </c>
      <c r="F868" s="37"/>
    </row>
    <row r="869" spans="1:6" ht="39.049999999999997" customHeight="1">
      <c r="A869" s="29"/>
      <c r="B869" s="36"/>
      <c r="C869" s="37">
        <v>0</v>
      </c>
      <c r="D869" s="38"/>
      <c r="E869" s="37">
        <f ca="1"/>
        <v>0</v>
      </c>
      <c r="F869" s="37"/>
    </row>
    <row r="870" spans="1:6" ht="39.049999999999997" customHeight="1">
      <c r="A870" s="29"/>
      <c r="B870" s="36"/>
      <c r="C870" s="37">
        <v>0</v>
      </c>
      <c r="D870" s="38"/>
      <c r="E870" s="37">
        <f ca="1"/>
        <v>0</v>
      </c>
      <c r="F870" s="37"/>
    </row>
    <row r="871" spans="1:6" ht="39.049999999999997" customHeight="1">
      <c r="A871" s="29"/>
      <c r="B871" s="36"/>
      <c r="C871" s="37">
        <v>0</v>
      </c>
      <c r="D871" s="38"/>
      <c r="E871" s="37">
        <f ca="1"/>
        <v>0</v>
      </c>
      <c r="F871" s="37"/>
    </row>
    <row r="872" spans="1:6" ht="39.049999999999997" customHeight="1">
      <c r="A872" s="29"/>
      <c r="B872" s="36"/>
      <c r="C872" s="37">
        <v>0</v>
      </c>
      <c r="D872" s="38"/>
      <c r="E872" s="37">
        <f ca="1"/>
        <v>0</v>
      </c>
      <c r="F872" s="37"/>
    </row>
    <row r="873" spans="1:6" ht="39.049999999999997" customHeight="1">
      <c r="A873" s="29"/>
      <c r="B873" s="36"/>
      <c r="C873" s="37">
        <v>0</v>
      </c>
      <c r="D873" s="38"/>
      <c r="E873" s="37">
        <f ca="1"/>
        <v>0</v>
      </c>
      <c r="F873" s="37"/>
    </row>
    <row r="874" spans="1:6" ht="39.049999999999997" customHeight="1">
      <c r="A874" s="29"/>
      <c r="B874" s="36"/>
      <c r="C874" s="37">
        <v>0</v>
      </c>
      <c r="D874" s="38"/>
      <c r="E874" s="37">
        <f ca="1"/>
        <v>0</v>
      </c>
      <c r="F874" s="37"/>
    </row>
    <row r="875" spans="1:6" ht="39.049999999999997" customHeight="1">
      <c r="A875" s="29"/>
      <c r="B875" s="36"/>
      <c r="C875" s="37">
        <v>0</v>
      </c>
      <c r="D875" s="38"/>
      <c r="E875" s="37">
        <f ca="1"/>
        <v>0</v>
      </c>
      <c r="F875" s="37"/>
    </row>
    <row r="876" spans="1:6" ht="39.049999999999997" customHeight="1">
      <c r="A876" s="29"/>
      <c r="B876" s="36"/>
      <c r="C876" s="37">
        <v>0</v>
      </c>
      <c r="D876" s="38"/>
      <c r="E876" s="37">
        <f ca="1"/>
        <v>0</v>
      </c>
      <c r="F876" s="37"/>
    </row>
    <row r="877" spans="1:6" ht="39.049999999999997" customHeight="1">
      <c r="A877" s="29"/>
      <c r="B877" s="36"/>
      <c r="C877" s="37">
        <v>0</v>
      </c>
      <c r="D877" s="38"/>
      <c r="E877" s="37">
        <f ca="1"/>
        <v>0</v>
      </c>
      <c r="F877" s="37"/>
    </row>
    <row r="878" spans="1:6" ht="39.049999999999997" customHeight="1">
      <c r="A878" s="29"/>
      <c r="B878" s="36"/>
      <c r="C878" s="37">
        <v>0</v>
      </c>
      <c r="D878" s="38"/>
      <c r="E878" s="37">
        <f ca="1"/>
        <v>0</v>
      </c>
      <c r="F878" s="37"/>
    </row>
    <row r="879" spans="1:6" ht="39.049999999999997" customHeight="1">
      <c r="A879" s="29"/>
      <c r="B879" s="36"/>
      <c r="C879" s="37">
        <v>0</v>
      </c>
      <c r="D879" s="38"/>
      <c r="E879" s="37">
        <f ca="1"/>
        <v>0</v>
      </c>
      <c r="F879" s="37"/>
    </row>
    <row r="880" spans="1:6" ht="39.049999999999997" customHeight="1">
      <c r="A880" s="29"/>
      <c r="B880" s="36"/>
      <c r="C880" s="37">
        <v>0</v>
      </c>
      <c r="D880" s="38"/>
      <c r="E880" s="37">
        <f ca="1"/>
        <v>0</v>
      </c>
      <c r="F880" s="37"/>
    </row>
    <row r="881" spans="1:6" ht="39.049999999999997" customHeight="1">
      <c r="A881" s="29"/>
      <c r="B881" s="36"/>
      <c r="C881" s="37">
        <v>0</v>
      </c>
      <c r="D881" s="38"/>
      <c r="E881" s="37">
        <f ca="1"/>
        <v>0</v>
      </c>
      <c r="F881" s="37"/>
    </row>
    <row r="882" spans="1:6" ht="39.049999999999997" customHeight="1">
      <c r="A882" s="29"/>
      <c r="B882" s="36"/>
      <c r="C882" s="37">
        <v>0</v>
      </c>
      <c r="D882" s="38"/>
      <c r="E882" s="37">
        <f ca="1"/>
        <v>0</v>
      </c>
      <c r="F882" s="37"/>
    </row>
    <row r="883" spans="1:6" ht="39.049999999999997" customHeight="1">
      <c r="A883" s="29"/>
      <c r="B883" s="36"/>
      <c r="C883" s="37">
        <v>0</v>
      </c>
      <c r="D883" s="38"/>
      <c r="E883" s="37">
        <f ca="1"/>
        <v>0</v>
      </c>
      <c r="F883" s="37"/>
    </row>
    <row r="884" spans="1:6" ht="39.049999999999997" customHeight="1">
      <c r="A884" s="29"/>
      <c r="B884" s="36"/>
      <c r="C884" s="37">
        <v>0</v>
      </c>
      <c r="D884" s="38"/>
      <c r="E884" s="37">
        <f ca="1"/>
        <v>0</v>
      </c>
      <c r="F884" s="37"/>
    </row>
    <row r="885" spans="1:6" ht="39.049999999999997" customHeight="1">
      <c r="A885" s="29"/>
      <c r="B885" s="36"/>
      <c r="C885" s="37">
        <v>0</v>
      </c>
      <c r="D885" s="38"/>
      <c r="E885" s="37">
        <f ca="1"/>
        <v>0</v>
      </c>
      <c r="F885" s="37"/>
    </row>
    <row r="886" spans="1:6" ht="39.049999999999997" customHeight="1">
      <c r="A886" s="29"/>
      <c r="B886" s="36"/>
      <c r="C886" s="37">
        <v>0</v>
      </c>
      <c r="D886" s="38"/>
      <c r="E886" s="37">
        <f ca="1"/>
        <v>0</v>
      </c>
      <c r="F886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998"/>
  <sheetViews>
    <sheetView rightToLeft="1" workbookViewId="0"/>
  </sheetViews>
  <sheetFormatPr defaultColWidth="12.6640625" defaultRowHeight="15.7" customHeight="1"/>
  <cols>
    <col min="1" max="1" width="16.9140625" customWidth="1"/>
  </cols>
  <sheetData>
    <row r="1" spans="1:17" ht="21.05" customHeight="1">
      <c r="A1" s="39" t="s">
        <v>118</v>
      </c>
      <c r="B1" s="40" t="s">
        <v>119</v>
      </c>
      <c r="C1" s="40" t="s">
        <v>120</v>
      </c>
      <c r="D1" s="40" t="s">
        <v>121</v>
      </c>
      <c r="E1" s="40" t="s">
        <v>122</v>
      </c>
      <c r="F1" s="40" t="s">
        <v>123</v>
      </c>
      <c r="G1" s="40" t="s">
        <v>124</v>
      </c>
      <c r="H1" s="40" t="s">
        <v>125</v>
      </c>
      <c r="I1" s="41"/>
    </row>
    <row r="2" spans="1:17" ht="21.05" customHeight="1">
      <c r="A2" s="42" t="s">
        <v>57</v>
      </c>
      <c r="B2" s="43">
        <f>IF($A2="",,SUMIFS(גיול!$C:$C, גיול!$F:$F, $A2, גיול!$D:$D, "&gt;="&amp;DATE(הגדרות!$B$2, COLUMN(B1)+1, 1), גיול!$D:$D, "&lt;="&amp;EOMONTH(DATE(הגדרות!$B$2, COLUMN(B1)+1, 1), 0)))</f>
        <v>97700</v>
      </c>
      <c r="C2" s="43">
        <f>IF($A2="",,SUMIFS(גיול!$C:$C, גיול!$F:$F, $A2, גיול!$D:$D, "&gt;="&amp;DATE(הגדרות!$B$2, COLUMN(C1)+1, 1), גיול!$D:$D, "&lt;="&amp;EOMONTH(DATE(הגדרות!$B$2, COLUMN(C1)+1, 1), 0)))</f>
        <v>260700</v>
      </c>
      <c r="D2" s="43">
        <f>IF($A2="",,SUMIFS(גיול!$C:$C, גיול!$F:$F, $A2, גיול!$D:$D, "&gt;="&amp;DATE(הגדרות!$B$2, COLUMN(D1)+1, 1), גיול!$D:$D, "&lt;="&amp;EOMONTH(DATE(הגדרות!$B$2, COLUMN(D1)+1, 1), 0)))</f>
        <v>128000</v>
      </c>
      <c r="E2" s="43">
        <f>IF($A2="",,SUMIFS(גיול!$C:$C, גיול!$F:$F, $A2, גיול!$D:$D, "&gt;="&amp;DATE(הגדרות!$B$2, COLUMN(E1)+1, 1), גיול!$D:$D, "&lt;="&amp;EOMONTH(DATE(הגדרות!$B$2, COLUMN(E1)+1, 1), 0)))</f>
        <v>13500</v>
      </c>
      <c r="F2" s="43">
        <f>IF($A2="",,SUMIFS(גיול!$C:$C, גיול!$F:$F, $A2, גיול!$D:$D, "&gt;="&amp;DATE(הגדרות!$B$2, COLUMN(F1)+1, 1), גיול!$D:$D, "&lt;="&amp;EOMONTH(DATE(הגדרות!$B$2, COLUMN(F1)+1, 1), 0)))</f>
        <v>0</v>
      </c>
      <c r="G2" s="43">
        <f>IF($A2="",,SUMIFS(גיול!$C:$C, גיול!$F:$F, $A2, גיול!$D:$D, "&gt;="&amp;DATE(הגדרות!$B$2, COLUMN(G1)+1, 1), גיול!$D:$D, "&lt;="&amp;EOMONTH(DATE(הגדרות!$B$2, COLUMN(G1)+1, 1), 0)))</f>
        <v>0</v>
      </c>
      <c r="H2" s="44">
        <f t="shared" ref="H2:H10" si="0">SUM(B2:G2)</f>
        <v>499900</v>
      </c>
      <c r="I2" s="41"/>
    </row>
    <row r="3" spans="1:17" ht="21.05" customHeight="1">
      <c r="A3" s="42" t="s">
        <v>101</v>
      </c>
      <c r="B3" s="43">
        <f>IF($A3="",,SUMIFS(גיול!$C:$C, גיול!$F:$F, $A3, גיול!$D:$D, "&gt;="&amp;DATE(הגדרות!$B$2, COLUMN(B2)+1, 1), גיול!$D:$D, "&lt;="&amp;EOMONTH(DATE(הגדרות!$B$2, COLUMN(B2)+1, 1), 0)))</f>
        <v>0</v>
      </c>
      <c r="C3" s="43">
        <f>IF($A3="",,SUMIFS(גיול!$C:$C, גיול!$F:$F, $A3, גיול!$D:$D, "&gt;="&amp;DATE(הגדרות!$B$2, COLUMN(C2)+1, 1), גיול!$D:$D, "&lt;="&amp;EOMONTH(DATE(הגדרות!$B$2, COLUMN(C2)+1, 1), 0)))</f>
        <v>9500</v>
      </c>
      <c r="D3" s="43">
        <f>IF($A3="",,SUMIFS(גיול!$C:$C, גיול!$F:$F, $A3, גיול!$D:$D, "&gt;="&amp;DATE(הגדרות!$B$2, COLUMN(D2)+1, 1), גיול!$D:$D, "&lt;="&amp;EOMONTH(DATE(הגדרות!$B$2, COLUMN(D2)+1, 1), 0)))</f>
        <v>0</v>
      </c>
      <c r="E3" s="43">
        <f>IF($A3="",,SUMIFS(גיול!$C:$C, גיול!$F:$F, $A3, גיול!$D:$D, "&gt;="&amp;DATE(הגדרות!$B$2, COLUMN(E2)+1, 1), גיול!$D:$D, "&lt;="&amp;EOMONTH(DATE(הגדרות!$B$2, COLUMN(E2)+1, 1), 0)))</f>
        <v>0</v>
      </c>
      <c r="F3" s="43">
        <f>IF($A3="",,SUMIFS(גיול!$C:$C, גיול!$F:$F, $A3, גיול!$D:$D, "&gt;="&amp;DATE(הגדרות!$B$2, COLUMN(F2)+1, 1), גיול!$D:$D, "&lt;="&amp;EOMONTH(DATE(הגדרות!$B$2, COLUMN(F2)+1, 1), 0)))</f>
        <v>0</v>
      </c>
      <c r="G3" s="43">
        <f>IF($A3="",,SUMIFS(גיול!$C:$C, גיול!$F:$F, $A3, גיול!$D:$D, "&gt;="&amp;DATE(הגדרות!$B$2, COLUMN(G2)+1, 1), גיול!$D:$D, "&lt;="&amp;EOMONTH(DATE(הגדרות!$B$2, COLUMN(G2)+1, 1), 0)))</f>
        <v>0</v>
      </c>
      <c r="H3" s="44">
        <f t="shared" si="0"/>
        <v>9500</v>
      </c>
      <c r="I3" s="41"/>
    </row>
    <row r="4" spans="1:17" ht="21.05" customHeight="1">
      <c r="A4" s="42" t="s">
        <v>65</v>
      </c>
      <c r="B4" s="43">
        <f>IF($A4="",,SUMIFS(גיול!$C:$C, גיול!$F:$F, $A4, גיול!$D:$D, "&gt;="&amp;DATE(הגדרות!$B$2, COLUMN(B3)+1, 1), גיול!$D:$D, "&lt;="&amp;EOMONTH(DATE(הגדרות!$B$2, COLUMN(B3)+1, 1), 0)))</f>
        <v>50000</v>
      </c>
      <c r="C4" s="43">
        <f>IF($A4="",,SUMIFS(גיול!$C:$C, גיול!$F:$F, $A4, גיול!$D:$D, "&gt;="&amp;DATE(הגדרות!$B$2, COLUMN(C3)+1, 1), גיול!$D:$D, "&lt;="&amp;EOMONTH(DATE(הגדרות!$B$2, COLUMN(C3)+1, 1), 0)))</f>
        <v>170000</v>
      </c>
      <c r="D4" s="43">
        <f>IF($A4="",,SUMIFS(גיול!$C:$C, גיול!$F:$F, $A4, גיול!$D:$D, "&gt;="&amp;DATE(הגדרות!$B$2, COLUMN(D3)+1, 1), גיול!$D:$D, "&lt;="&amp;EOMONTH(DATE(הגדרות!$B$2, COLUMN(D3)+1, 1), 0)))</f>
        <v>0</v>
      </c>
      <c r="E4" s="43">
        <f>IF($A4="",,SUMIFS(גיול!$C:$C, גיול!$F:$F, $A4, גיול!$D:$D, "&gt;="&amp;DATE(הגדרות!$B$2, COLUMN(E3)+1, 1), גיול!$D:$D, "&lt;="&amp;EOMONTH(DATE(הגדרות!$B$2, COLUMN(E3)+1, 1), 0)))</f>
        <v>0</v>
      </c>
      <c r="F4" s="43">
        <f>IF($A4="",,SUMIFS(גיול!$C:$C, גיול!$F:$F, $A4, גיול!$D:$D, "&gt;="&amp;DATE(הגדרות!$B$2, COLUMN(F3)+1, 1), גיול!$D:$D, "&lt;="&amp;EOMONTH(DATE(הגדרות!$B$2, COLUMN(F3)+1, 1), 0)))</f>
        <v>0</v>
      </c>
      <c r="G4" s="43">
        <f>IF($A4="",,SUMIFS(גיול!$C:$C, גיול!$F:$F, $A4, גיול!$D:$D, "&gt;="&amp;DATE(הגדרות!$B$2, COLUMN(G3)+1, 1), גיול!$D:$D, "&lt;="&amp;EOMONTH(DATE(הגדרות!$B$2, COLUMN(G3)+1, 1), 0)))</f>
        <v>0</v>
      </c>
      <c r="H4" s="44">
        <f t="shared" si="0"/>
        <v>220000</v>
      </c>
      <c r="I4" s="41"/>
    </row>
    <row r="5" spans="1:17" ht="21.05" customHeight="1">
      <c r="A5" s="42" t="s">
        <v>90</v>
      </c>
      <c r="B5" s="43">
        <f>IF($A5="",,SUMIFS(גיול!$C:$C, גיול!$F:$F, $A5, גיול!$D:$D, "&gt;="&amp;DATE(הגדרות!$B$2, COLUMN(B4)+1, 1), גיול!$D:$D, "&lt;="&amp;EOMONTH(DATE(הגדרות!$B$2, COLUMN(B4)+1, 1), 0)))</f>
        <v>0</v>
      </c>
      <c r="C5" s="43">
        <f>IF($A5="",,SUMIFS(גיול!$C:$C, גיול!$F:$F, $A5, גיול!$D:$D, "&gt;="&amp;DATE(הגדרות!$B$2, COLUMN(C4)+1, 1), גיול!$D:$D, "&lt;="&amp;EOMONTH(DATE(הגדרות!$B$2, COLUMN(C4)+1, 1), 0)))</f>
        <v>15000</v>
      </c>
      <c r="D5" s="43">
        <f>IF($A5="",,SUMIFS(גיול!$C:$C, גיול!$F:$F, $A5, גיול!$D:$D, "&gt;="&amp;DATE(הגדרות!$B$2, COLUMN(D4)+1, 1), גיול!$D:$D, "&lt;="&amp;EOMONTH(DATE(הגדרות!$B$2, COLUMN(D4)+1, 1), 0)))</f>
        <v>0</v>
      </c>
      <c r="E5" s="43">
        <f>IF($A5="",,SUMIFS(גיול!$C:$C, גיול!$F:$F, $A5, גיול!$D:$D, "&gt;="&amp;DATE(הגדרות!$B$2, COLUMN(E4)+1, 1), גיול!$D:$D, "&lt;="&amp;EOMONTH(DATE(הגדרות!$B$2, COLUMN(E4)+1, 1), 0)))</f>
        <v>0</v>
      </c>
      <c r="F5" s="43">
        <f>IF($A5="",,SUMIFS(גיול!$C:$C, גיול!$F:$F, $A5, גיול!$D:$D, "&gt;="&amp;DATE(הגדרות!$B$2, COLUMN(F4)+1, 1), גיול!$D:$D, "&lt;="&amp;EOMONTH(DATE(הגדרות!$B$2, COLUMN(F4)+1, 1), 0)))</f>
        <v>0</v>
      </c>
      <c r="G5" s="43">
        <f>IF($A5="",,SUMIFS(גיול!$C:$C, גיול!$F:$F, $A5, גיול!$D:$D, "&gt;="&amp;DATE(הגדרות!$B$2, COLUMN(G4)+1, 1), גיול!$D:$D, "&lt;="&amp;EOMONTH(DATE(הגדרות!$B$2, COLUMN(G4)+1, 1), 0)))</f>
        <v>0</v>
      </c>
      <c r="H5" s="44">
        <f t="shared" si="0"/>
        <v>15000</v>
      </c>
      <c r="I5" s="41"/>
    </row>
    <row r="6" spans="1:17" ht="21.05" customHeight="1">
      <c r="A6" s="42" t="s">
        <v>78</v>
      </c>
      <c r="B6" s="43">
        <f>IF($A6="",,SUMIFS(גיול!$C:$C, גיול!$F:$F, $A6, גיול!$D:$D, "&gt;="&amp;DATE(הגדרות!$B$2, COLUMN(B5)+1, 1), גיול!$D:$D, "&lt;="&amp;EOMONTH(DATE(הגדרות!$B$2, COLUMN(B5)+1, 1), 0)))</f>
        <v>50000</v>
      </c>
      <c r="C6" s="43">
        <f>IF($A6="",,SUMIFS(גיול!$C:$C, גיול!$F:$F, $A6, גיול!$D:$D, "&gt;="&amp;DATE(הגדרות!$B$2, COLUMN(C5)+1, 1), גיול!$D:$D, "&lt;="&amp;EOMONTH(DATE(הגדרות!$B$2, COLUMN(C5)+1, 1), 0)))</f>
        <v>63500</v>
      </c>
      <c r="D6" s="43">
        <f>IF($A6="",,SUMIFS(גיול!$C:$C, גיול!$F:$F, $A6, גיול!$D:$D, "&gt;="&amp;DATE(הגדרות!$B$2, COLUMN(D5)+1, 1), גיול!$D:$D, "&lt;="&amp;EOMONTH(DATE(הגדרות!$B$2, COLUMN(D5)+1, 1), 0)))</f>
        <v>156900</v>
      </c>
      <c r="E6" s="43">
        <f>IF($A6="",,SUMIFS(גיול!$C:$C, גיול!$F:$F, $A6, גיול!$D:$D, "&gt;="&amp;DATE(הגדרות!$B$2, COLUMN(E5)+1, 1), גיול!$D:$D, "&lt;="&amp;EOMONTH(DATE(הגדרות!$B$2, COLUMN(E5)+1, 1), 0)))</f>
        <v>63500</v>
      </c>
      <c r="F6" s="43">
        <f>IF($A6="",,SUMIFS(גיול!$C:$C, גיול!$F:$F, $A6, גיול!$D:$D, "&gt;="&amp;DATE(הגדרות!$B$2, COLUMN(F5)+1, 1), גיול!$D:$D, "&lt;="&amp;EOMONTH(DATE(הגדרות!$B$2, COLUMN(F5)+1, 1), 0)))</f>
        <v>0</v>
      </c>
      <c r="G6" s="43">
        <f>IF($A6="",,SUMIFS(גיול!$C:$C, גיול!$F:$F, $A6, גיול!$D:$D, "&gt;="&amp;DATE(הגדרות!$B$2, COLUMN(G5)+1, 1), גיול!$D:$D, "&lt;="&amp;EOMONTH(DATE(הגדרות!$B$2, COLUMN(G5)+1, 1), 0)))</f>
        <v>0</v>
      </c>
      <c r="H6" s="44">
        <f t="shared" si="0"/>
        <v>333900</v>
      </c>
      <c r="I6" s="41"/>
    </row>
    <row r="7" spans="1:17" ht="21.05" customHeight="1">
      <c r="A7" s="42" t="s">
        <v>68</v>
      </c>
      <c r="B7" s="43">
        <f>IF($A7="",,SUMIFS(גיול!$C:$C, גיול!$F:$F, $A7, גיול!$D:$D, "&gt;="&amp;DATE(הגדרות!$B$2, COLUMN(B6)+1, 1), גיול!$D:$D, "&lt;="&amp;EOMONTH(DATE(הגדרות!$B$2, COLUMN(B6)+1, 1), 0)))</f>
        <v>7800</v>
      </c>
      <c r="C7" s="43">
        <f>IF($A7="",,SUMIFS(גיול!$C:$C, גיול!$F:$F, $A7, גיול!$D:$D, "&gt;="&amp;DATE(הגדרות!$B$2, COLUMN(C6)+1, 1), גיול!$D:$D, "&lt;="&amp;EOMONTH(DATE(הגדרות!$B$2, COLUMN(C6)+1, 1), 0)))</f>
        <v>0</v>
      </c>
      <c r="D7" s="43">
        <f>IF($A7="",,SUMIFS(גיול!$C:$C, גיול!$F:$F, $A7, גיול!$D:$D, "&gt;="&amp;DATE(הגדרות!$B$2, COLUMN(D6)+1, 1), גיול!$D:$D, "&lt;="&amp;EOMONTH(DATE(הגדרות!$B$2, COLUMN(D6)+1, 1), 0)))</f>
        <v>0</v>
      </c>
      <c r="E7" s="43">
        <f>IF($A7="",,SUMIFS(גיול!$C:$C, גיול!$F:$F, $A7, גיול!$D:$D, "&gt;="&amp;DATE(הגדרות!$B$2, COLUMN(E6)+1, 1), גיול!$D:$D, "&lt;="&amp;EOMONTH(DATE(הגדרות!$B$2, COLUMN(E6)+1, 1), 0)))</f>
        <v>0</v>
      </c>
      <c r="F7" s="43">
        <f>IF($A7="",,SUMIFS(גיול!$C:$C, גיול!$F:$F, $A7, גיול!$D:$D, "&gt;="&amp;DATE(הגדרות!$B$2, COLUMN(F6)+1, 1), גיול!$D:$D, "&lt;="&amp;EOMONTH(DATE(הגדרות!$B$2, COLUMN(F6)+1, 1), 0)))</f>
        <v>0</v>
      </c>
      <c r="G7" s="43">
        <f>IF($A7="",,SUMIFS(גיול!$C:$C, גיול!$F:$F, $A7, גיול!$D:$D, "&gt;="&amp;DATE(הגדרות!$B$2, COLUMN(G6)+1, 1), גיול!$D:$D, "&lt;="&amp;EOMONTH(DATE(הגדרות!$B$2, COLUMN(G6)+1, 1), 0)))</f>
        <v>0</v>
      </c>
      <c r="H7" s="44">
        <f t="shared" si="0"/>
        <v>7800</v>
      </c>
      <c r="I7" s="41"/>
    </row>
    <row r="8" spans="1:17" ht="21.05" customHeight="1">
      <c r="A8" s="42" t="s">
        <v>92</v>
      </c>
      <c r="B8" s="43">
        <f>IF($A8="",,SUMIFS(גיול!$C:$C, גיול!$F:$F, $A8, גיול!$D:$D, "&gt;="&amp;DATE(הגדרות!$B$2, COLUMN(B7)+1, 1), גיול!$D:$D, "&lt;="&amp;EOMONTH(DATE(הגדרות!$B$2, COLUMN(B7)+1, 1), 0)))</f>
        <v>0</v>
      </c>
      <c r="C8" s="43">
        <f>IF($A8="",,SUMIFS(גיול!$C:$C, גיול!$F:$F, $A8, גיול!$D:$D, "&gt;="&amp;DATE(הגדרות!$B$2, COLUMN(C7)+1, 1), גיול!$D:$D, "&lt;="&amp;EOMONTH(DATE(הגדרות!$B$2, COLUMN(C7)+1, 1), 0)))</f>
        <v>0</v>
      </c>
      <c r="D8" s="43">
        <f>IF($A8="",,SUMIFS(גיול!$C:$C, גיול!$F:$F, $A8, גיול!$D:$D, "&gt;="&amp;DATE(הגדרות!$B$2, COLUMN(D7)+1, 1), גיול!$D:$D, "&lt;="&amp;EOMONTH(DATE(הגדרות!$B$2, COLUMN(D7)+1, 1), 0)))</f>
        <v>0</v>
      </c>
      <c r="E8" s="43">
        <f>IF($A8="",,SUMIFS(גיול!$C:$C, גיול!$F:$F, $A8, גיול!$D:$D, "&gt;="&amp;DATE(הגדרות!$B$2, COLUMN(E7)+1, 1), גיול!$D:$D, "&lt;="&amp;EOMONTH(DATE(הגדרות!$B$2, COLUMN(E7)+1, 1), 0)))</f>
        <v>0</v>
      </c>
      <c r="F8" s="43">
        <f>IF($A8="",,SUMIFS(גיול!$C:$C, גיול!$F:$F, $A8, גיול!$D:$D, "&gt;="&amp;DATE(הגדרות!$B$2, COLUMN(F7)+1, 1), גיול!$D:$D, "&lt;="&amp;EOMONTH(DATE(הגדרות!$B$2, COLUMN(F7)+1, 1), 0)))</f>
        <v>55000</v>
      </c>
      <c r="G8" s="43">
        <f>IF($A8="",,SUMIFS(גיול!$C:$C, גיול!$F:$F, $A8, גיול!$D:$D, "&gt;="&amp;DATE(הגדרות!$B$2, COLUMN(G7)+1, 1), גיול!$D:$D, "&lt;="&amp;EOMONTH(DATE(הגדרות!$B$2, COLUMN(G7)+1, 1), 0)))</f>
        <v>0</v>
      </c>
      <c r="H8" s="44">
        <f t="shared" si="0"/>
        <v>55000</v>
      </c>
      <c r="I8" s="41"/>
    </row>
    <row r="9" spans="1:17" ht="21.05" customHeight="1">
      <c r="A9" s="42" t="s">
        <v>72</v>
      </c>
      <c r="B9" s="43">
        <f>IF($A9="",,SUMIFS(גיול!$C:$C, גיול!$F:$F, $A9, גיול!$D:$D, "&gt;="&amp;DATE(הגדרות!$B$2, COLUMN(B8)+1, 1), גיול!$D:$D, "&lt;="&amp;EOMONTH(DATE(הגדרות!$B$2, COLUMN(B8)+1, 1), 0)))</f>
        <v>2430</v>
      </c>
      <c r="C9" s="43">
        <f>IF($A9="",,SUMIFS(גיול!$C:$C, גיול!$F:$F, $A9, גיול!$D:$D, "&gt;="&amp;DATE(הגדרות!$B$2, COLUMN(C8)+1, 1), גיול!$D:$D, "&lt;="&amp;EOMONTH(DATE(הגדרות!$B$2, COLUMN(C8)+1, 1), 0)))</f>
        <v>0</v>
      </c>
      <c r="D9" s="43">
        <f>IF($A9="",,SUMIFS(גיול!$C:$C, גיול!$F:$F, $A9, גיול!$D:$D, "&gt;="&amp;DATE(הגדרות!$B$2, COLUMN(D8)+1, 1), גיול!$D:$D, "&lt;="&amp;EOMONTH(DATE(הגדרות!$B$2, COLUMN(D8)+1, 1), 0)))</f>
        <v>1750</v>
      </c>
      <c r="E9" s="43">
        <f>IF($A9="",,SUMIFS(גיול!$C:$C, גיול!$F:$F, $A9, גיול!$D:$D, "&gt;="&amp;DATE(הגדרות!$B$2, COLUMN(E8)+1, 1), גיול!$D:$D, "&lt;="&amp;EOMONTH(DATE(הגדרות!$B$2, COLUMN(E8)+1, 1), 0)))</f>
        <v>8000</v>
      </c>
      <c r="F9" s="43">
        <f>IF($A9="",,SUMIFS(גיול!$C:$C, גיול!$F:$F, $A9, גיול!$D:$D, "&gt;="&amp;DATE(הגדרות!$B$2, COLUMN(F8)+1, 1), גיול!$D:$D, "&lt;="&amp;EOMONTH(DATE(הגדרות!$B$2, COLUMN(F8)+1, 1), 0)))</f>
        <v>0</v>
      </c>
      <c r="G9" s="43">
        <f>IF($A9="",,SUMIFS(גיול!$C:$C, גיול!$F:$F, $A9, גיול!$D:$D, "&gt;="&amp;DATE(הגדרות!$B$2, COLUMN(G8)+1, 1), גיול!$D:$D, "&lt;="&amp;EOMONTH(DATE(הגדרות!$B$2, COLUMN(G8)+1, 1), 0)))</f>
        <v>0</v>
      </c>
      <c r="H9" s="44">
        <f t="shared" si="0"/>
        <v>12180</v>
      </c>
      <c r="I9" s="41"/>
      <c r="J9" s="41"/>
      <c r="K9" s="41"/>
      <c r="L9" s="41"/>
      <c r="M9" s="41"/>
      <c r="N9" s="41"/>
      <c r="O9" s="41"/>
      <c r="P9" s="41"/>
      <c r="Q9" s="41"/>
    </row>
    <row r="10" spans="1:17" ht="21.05" customHeight="1">
      <c r="A10" s="42" t="s">
        <v>73</v>
      </c>
      <c r="B10" s="43">
        <f>IF($A10="",,SUMIFS(גיול!$C:$C, גיול!$F:$F, $A10, גיול!$D:$D, "&gt;="&amp;DATE(הגדרות!$B$2, COLUMN(B9)+1, 1), גיול!$D:$D, "&lt;="&amp;EOMONTH(DATE(הגדרות!$B$2, COLUMN(B9)+1, 1), 0)))</f>
        <v>10000</v>
      </c>
      <c r="C10" s="43">
        <f>IF($A10="",,SUMIFS(גיול!$C:$C, גיול!$F:$F, $A10, גיול!$D:$D, "&gt;="&amp;DATE(הגדרות!$B$2, COLUMN(C9)+1, 1), גיול!$D:$D, "&lt;="&amp;EOMONTH(DATE(הגדרות!$B$2, COLUMN(C9)+1, 1), 0)))</f>
        <v>0</v>
      </c>
      <c r="D10" s="43">
        <f>IF($A10="",,SUMIFS(גיול!$C:$C, גיול!$F:$F, $A10, גיול!$D:$D, "&gt;="&amp;DATE(הגדרות!$B$2, COLUMN(D9)+1, 1), גיול!$D:$D, "&lt;="&amp;EOMONTH(DATE(הגדרות!$B$2, COLUMN(D9)+1, 1), 0)))</f>
        <v>0</v>
      </c>
      <c r="E10" s="43">
        <f>IF($A10="",,SUMIFS(גיול!$C:$C, גיול!$F:$F, $A10, גיול!$D:$D, "&gt;="&amp;DATE(הגדרות!$B$2, COLUMN(E9)+1, 1), גיול!$D:$D, "&lt;="&amp;EOMONTH(DATE(הגדרות!$B$2, COLUMN(E9)+1, 1), 0)))</f>
        <v>0</v>
      </c>
      <c r="F10" s="43">
        <f>IF($A10="",,SUMIFS(גיול!$C:$C, גיול!$F:$F, $A10, גיול!$D:$D, "&gt;="&amp;DATE(הגדרות!$B$2, COLUMN(F9)+1, 1), גיול!$D:$D, "&lt;="&amp;EOMONTH(DATE(הגדרות!$B$2, COLUMN(F9)+1, 1), 0)))</f>
        <v>0</v>
      </c>
      <c r="G10" s="43">
        <f>IF($A10="",,SUMIFS(גיול!$C:$C, גיול!$F:$F, $A10, גיול!$D:$D, "&gt;="&amp;DATE(הגדרות!$B$2, COLUMN(G9)+1, 1), גיול!$D:$D, "&lt;="&amp;EOMONTH(DATE(הגדרות!$B$2, COLUMN(G9)+1, 1), 0)))</f>
        <v>0</v>
      </c>
      <c r="H10" s="44">
        <f t="shared" si="0"/>
        <v>10000</v>
      </c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21.05" customHeight="1">
      <c r="A11" s="45" t="s">
        <v>126</v>
      </c>
      <c r="B11" s="46">
        <f t="shared" ref="B11:H11" si="1">SUM(B2:B10)</f>
        <v>217930</v>
      </c>
      <c r="C11" s="46">
        <f t="shared" si="1"/>
        <v>518700</v>
      </c>
      <c r="D11" s="46">
        <f t="shared" si="1"/>
        <v>286650</v>
      </c>
      <c r="E11" s="46">
        <f t="shared" si="1"/>
        <v>85000</v>
      </c>
      <c r="F11" s="46">
        <f t="shared" si="1"/>
        <v>55000</v>
      </c>
      <c r="G11" s="46">
        <f t="shared" si="1"/>
        <v>0</v>
      </c>
      <c r="H11" s="46">
        <f t="shared" si="1"/>
        <v>1163280</v>
      </c>
      <c r="I11" s="41"/>
      <c r="J11" s="41"/>
      <c r="K11" s="41"/>
      <c r="L11" s="41"/>
      <c r="M11" s="41"/>
      <c r="N11" s="41"/>
      <c r="O11" s="41"/>
      <c r="P11" s="41"/>
      <c r="Q11" s="41"/>
    </row>
    <row r="12" spans="1:17" ht="21.05" customHeight="1">
      <c r="A12" s="41"/>
      <c r="B12" s="47"/>
      <c r="C12" s="47"/>
      <c r="D12" s="47"/>
      <c r="E12" s="47"/>
      <c r="F12" s="47"/>
      <c r="G12" s="47"/>
      <c r="H12" s="48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21.05" customHeight="1">
      <c r="B13" s="49"/>
      <c r="C13" s="49"/>
      <c r="D13" s="49"/>
      <c r="E13" s="49"/>
      <c r="F13" s="49"/>
      <c r="G13" s="49"/>
      <c r="H13" s="49"/>
    </row>
    <row r="14" spans="1:17" ht="21.05" customHeight="1">
      <c r="A14" s="50" t="s">
        <v>127</v>
      </c>
      <c r="B14" s="51" t="s">
        <v>119</v>
      </c>
      <c r="C14" s="51" t="s">
        <v>120</v>
      </c>
      <c r="D14" s="51" t="s">
        <v>121</v>
      </c>
      <c r="E14" s="51" t="s">
        <v>122</v>
      </c>
      <c r="F14" s="51" t="s">
        <v>123</v>
      </c>
      <c r="G14" s="51" t="s">
        <v>124</v>
      </c>
      <c r="H14" s="51" t="s">
        <v>125</v>
      </c>
    </row>
    <row r="15" spans="1:17" ht="21.05" customHeight="1">
      <c r="A15" s="6" t="s">
        <v>12</v>
      </c>
      <c r="B15" s="52">
        <f ca="1">IF($A15="",,SUMIFS(הוצאותמסודר!$D:$D, הוצאותמסודר!$G:$G, $A15, הוצאותמסודר!$B:$B, COLUMN(B1)+1))</f>
        <v>230520</v>
      </c>
      <c r="C15" s="53">
        <f ca="1">IF($A15="",,SUMIFS(הוצאותמסודר!$D:$D, הוצאותמסודר!$G:$G, $A15, הוצאותמסודר!$B:$B, COLUMN(C1)+1))</f>
        <v>219520</v>
      </c>
      <c r="D15" s="53">
        <f ca="1">IF($A15="",,SUMIFS(הוצאותמסודר!$D:$D, הוצאותמסודר!$G:$G, $A15, הוצאותמסודר!$B:$B, COLUMN(D1)+1))</f>
        <v>177420</v>
      </c>
      <c r="E15" s="53">
        <f ca="1">IF($A15="",,SUMIFS(הוצאותמסודר!$D:$D, הוצאותמסודר!$G:$G, $A15, הוצאותמסודר!$B:$B, COLUMN(E1)+1))</f>
        <v>186520</v>
      </c>
      <c r="F15" s="53">
        <f ca="1">IF($A15="",,SUMIFS(הוצאותמסודר!$D:$D, הוצאותמסודר!$G:$G, $A15, הוצאותמסודר!$B:$B, COLUMN(F1)+1))</f>
        <v>148520</v>
      </c>
      <c r="G15" s="53">
        <f ca="1">IF($A15="",,SUMIFS(הוצאותמסודר!$D:$D, הוצאותמסודר!$G:$G, $A15, הוצאותמסודר!$B:$B, COLUMN(G1)+1))</f>
        <v>119020</v>
      </c>
      <c r="H15" s="44">
        <f t="shared" ref="H15:H19" ca="1" si="2">SUM(B15:G15)</f>
        <v>1081520</v>
      </c>
    </row>
    <row r="16" spans="1:17" ht="21.05" customHeight="1">
      <c r="A16" s="6" t="s">
        <v>111</v>
      </c>
      <c r="B16" s="52">
        <f ca="1">IF($A16="",,SUMIFS(הוצאותמסודר!$D:$D, הוצאותמסודר!$G:$G, $A16, הוצאותמסודר!$B:$B, COLUMN(B2)+1))</f>
        <v>22656</v>
      </c>
      <c r="C16" s="53">
        <f ca="1">IF($A16="",,SUMIFS(הוצאותמסודר!$D:$D, הוצאותמסודר!$G:$G, $A16, הוצאותמסודר!$B:$B, COLUMN(C2)+1))</f>
        <v>15429</v>
      </c>
      <c r="D16" s="53">
        <f ca="1">IF($A16="",,SUMIFS(הוצאותמסודר!$D:$D, הוצאותמסודר!$G:$G, $A16, הוצאותמסודר!$B:$B, COLUMN(D2)+1))</f>
        <v>36724</v>
      </c>
      <c r="E16" s="53">
        <f ca="1">IF($A16="",,SUMIFS(הוצאותמסודר!$D:$D, הוצאותמסודר!$G:$G, $A16, הוצאותמסודר!$B:$B, COLUMN(E2)+1))</f>
        <v>20295</v>
      </c>
      <c r="F16" s="53">
        <f ca="1">IF($A16="",,SUMIFS(הוצאותמסודר!$D:$D, הוצאותמסודר!$G:$G, $A16, הוצאותמסודר!$B:$B, COLUMN(F2)+1))</f>
        <v>6018</v>
      </c>
      <c r="G16" s="53">
        <f ca="1">IF($A16="",,SUMIFS(הוצאותמסודר!$D:$D, הוצאותמסודר!$G:$G, $A16, הוצאותמסודר!$B:$B, COLUMN(G2)+1))</f>
        <v>3894</v>
      </c>
      <c r="H16" s="44">
        <f t="shared" ca="1" si="2"/>
        <v>105016</v>
      </c>
    </row>
    <row r="17" spans="1:8" ht="21.05" customHeight="1">
      <c r="A17" s="6" t="s">
        <v>112</v>
      </c>
      <c r="B17" s="52">
        <f ca="1">IF($A17="",,SUMIFS(הוצאותמסודר!$D:$D, הוצאותמסודר!$G:$G, $A17, הוצאותמסודר!$B:$B, COLUMN(B3)+1))</f>
        <v>28280</v>
      </c>
      <c r="C17" s="53">
        <f ca="1">IF($A17="",,SUMIFS(הוצאותמסודר!$D:$D, הוצאותמסודר!$G:$G, $A17, הוצאותמסודר!$B:$B, COLUMN(C3)+1))</f>
        <v>29830</v>
      </c>
      <c r="D17" s="53">
        <f ca="1">IF($A17="",,SUMIFS(הוצאותמסודר!$D:$D, הוצאותמסודר!$G:$G, $A17, הוצאותמסודר!$B:$B, COLUMN(D3)+1))</f>
        <v>27980</v>
      </c>
      <c r="E17" s="53">
        <f ca="1">IF($A17="",,SUMIFS(הוצאותמסודר!$D:$D, הוצאותמסודר!$G:$G, $A17, הוצאותמסודר!$B:$B, COLUMN(E3)+1))</f>
        <v>22080</v>
      </c>
      <c r="F17" s="53">
        <f ca="1">IF($A17="",,SUMIFS(הוצאותמסודר!$D:$D, הוצאותמסודר!$G:$G, $A17, הוצאותמסודר!$B:$B, COLUMN(F3)+1))</f>
        <v>19380</v>
      </c>
      <c r="G17" s="53">
        <f ca="1">IF($A17="",,SUMIFS(הוצאותמסודר!$D:$D, הוצאותמסודר!$G:$G, $A17, הוצאותמסודר!$B:$B, COLUMN(G3)+1))</f>
        <v>11030</v>
      </c>
      <c r="H17" s="44">
        <f t="shared" ca="1" si="2"/>
        <v>138580</v>
      </c>
    </row>
    <row r="18" spans="1:8" ht="21.05" customHeight="1">
      <c r="A18" s="6" t="s">
        <v>11</v>
      </c>
      <c r="B18" s="52">
        <f ca="1">IF($A18="",,SUMIFS(הוצאותמסודר!$D:$D, הוצאותמסודר!$G:$G, $A18, הוצאותמסודר!$B:$B, COLUMN(B4)+1))</f>
        <v>30000</v>
      </c>
      <c r="C18" s="53">
        <f ca="1">IF($A18="",,SUMIFS(הוצאותמסודר!$D:$D, הוצאותמסודר!$G:$G, $A18, הוצאותמסודר!$B:$B, COLUMN(C4)+1))</f>
        <v>40000</v>
      </c>
      <c r="D18" s="53">
        <f ca="1">IF($A18="",,SUMIFS(הוצאותמסודר!$D:$D, הוצאותמסודר!$G:$G, $A18, הוצאותמסודר!$B:$B, COLUMN(D4)+1))</f>
        <v>20000</v>
      </c>
      <c r="E18" s="53">
        <f ca="1">IF($A18="",,SUMIFS(הוצאותמסודר!$D:$D, הוצאותמסודר!$G:$G, $A18, הוצאותמסודר!$B:$B, COLUMN(E4)+1))</f>
        <v>15000</v>
      </c>
      <c r="F18" s="53">
        <f ca="1">IF($A18="",,SUMIFS(הוצאותמסודר!$D:$D, הוצאותמסודר!$G:$G, $A18, הוצאותמסודר!$B:$B, COLUMN(F4)+1))</f>
        <v>0</v>
      </c>
      <c r="G18" s="53">
        <f ca="1">IF($A18="",,SUMIFS(הוצאותמסודר!$D:$D, הוצאותמסודר!$G:$G, $A18, הוצאותמסודר!$B:$B, COLUMN(G4)+1))</f>
        <v>0</v>
      </c>
      <c r="H18" s="44">
        <f t="shared" ca="1" si="2"/>
        <v>105000</v>
      </c>
    </row>
    <row r="19" spans="1:8" ht="21.05" customHeight="1">
      <c r="A19" s="6" t="s">
        <v>49</v>
      </c>
      <c r="B19" s="52">
        <f ca="1">IF($A19="",,SUMIFS(הוצאותמסודר!$D:$D, הוצאותמסודר!$G:$G, $A19, הוצאותמסודר!$B:$B, COLUMN(B5)+1))</f>
        <v>24000</v>
      </c>
      <c r="C19" s="53">
        <f ca="1">IF($A19="",,SUMIFS(הוצאותמסודר!$D:$D, הוצאותמסודר!$G:$G, $A19, הוצאותמסודר!$B:$B, COLUMN(C5)+1))</f>
        <v>21600</v>
      </c>
      <c r="D19" s="53">
        <f ca="1">IF($A19="",,SUMIFS(הוצאותמסודר!$D:$D, הוצאותמסודר!$G:$G, $A19, הוצאותמסודר!$B:$B, COLUMN(D5)+1))</f>
        <v>0</v>
      </c>
      <c r="E19" s="53">
        <f ca="1">IF($A19="",,SUMIFS(הוצאותמסודר!$D:$D, הוצאותמסודר!$G:$G, $A19, הוצאותמסודר!$B:$B, COLUMN(E5)+1))</f>
        <v>0</v>
      </c>
      <c r="F19" s="53">
        <f ca="1">IF($A19="",,SUMIFS(הוצאותמסודר!$D:$D, הוצאותמסודר!$G:$G, $A19, הוצאותמסודר!$B:$B, COLUMN(F5)+1))</f>
        <v>0</v>
      </c>
      <c r="G19" s="53">
        <f ca="1">IF($A19="",,SUMIFS(הוצאותמסודר!$D:$D, הוצאותמסודר!$G:$G, $A19, הוצאותמסודר!$B:$B, COLUMN(G5)+1))</f>
        <v>0</v>
      </c>
      <c r="H19" s="44">
        <f t="shared" ca="1" si="2"/>
        <v>45600</v>
      </c>
    </row>
    <row r="20" spans="1:8" ht="21.05" customHeight="1">
      <c r="A20" s="54" t="s">
        <v>126</v>
      </c>
      <c r="B20" s="46">
        <f t="shared" ref="B20:H20" ca="1" si="3">SUM(B15:B19)</f>
        <v>335456</v>
      </c>
      <c r="C20" s="46">
        <f t="shared" ca="1" si="3"/>
        <v>326379</v>
      </c>
      <c r="D20" s="46">
        <f t="shared" ca="1" si="3"/>
        <v>262124</v>
      </c>
      <c r="E20" s="46">
        <f t="shared" ca="1" si="3"/>
        <v>243895</v>
      </c>
      <c r="F20" s="46">
        <f t="shared" ca="1" si="3"/>
        <v>173918</v>
      </c>
      <c r="G20" s="46">
        <f t="shared" ca="1" si="3"/>
        <v>133944</v>
      </c>
      <c r="H20" s="46">
        <f t="shared" ca="1" si="3"/>
        <v>1475716</v>
      </c>
    </row>
    <row r="21" spans="1:8" ht="21.05" customHeight="1">
      <c r="A21" s="41"/>
      <c r="B21" s="47">
        <f>IF($A21="",,SUMIFS(הוצאותמסודר!$E:$E, הוצאותמסודר!$G:$G, $A21, הוצאותמסודר!$B:$B, B$13))</f>
        <v>0</v>
      </c>
      <c r="C21" s="47">
        <f>IF($A21="",,SUMIFS(הוצאותמסודר!$E:$E, הוצאותמסודר!$G:$G, $A21, הוצאותמסודר!$B:$B, C$13))</f>
        <v>0</v>
      </c>
      <c r="D21" s="47">
        <f>IF($A21="",,SUMIFS(הוצאותמסודר!$E:$E, הוצאותמסודר!$G:$G, $A21, הוצאותמסודר!$B:$B, D$13))</f>
        <v>0</v>
      </c>
      <c r="E21" s="47">
        <f>IF($A21="",,SUMIFS(הוצאותמסודר!$E:$E, הוצאותמסודר!$G:$G, $A21, הוצאותמסודר!$B:$B, E$13))</f>
        <v>0</v>
      </c>
      <c r="F21" s="47">
        <f>IF($A21="",,SUMIFS(הוצאותמסודר!$E:$E, הוצאותמסודר!$G:$G, $A21, הוצאותמסודר!$B:$B, F$13))</f>
        <v>0</v>
      </c>
      <c r="G21" s="47">
        <f>IF($A21="",,SUMIFS(הוצאותמסודר!$E:$E, הוצאותמסודר!$G:$G, $A21, הוצאותמסודר!$B:$B, G$13))</f>
        <v>0</v>
      </c>
      <c r="H21" s="49"/>
    </row>
    <row r="22" spans="1:8" ht="21.05" customHeight="1">
      <c r="B22" s="49">
        <f>IF($A22="",,SUMIFS(הוצאותמסודר!$E:$E, הוצאותמסודר!$G:$G, $A22, הוצאותמסודר!$B:$B, B$13))</f>
        <v>0</v>
      </c>
      <c r="C22" s="49">
        <f>IF($A22="",,SUMIFS(הוצאותמסודר!$E:$E, הוצאותמסודר!$G:$G, $A22, הוצאותמסודר!$B:$B, C$13))</f>
        <v>0</v>
      </c>
      <c r="D22" s="49">
        <f>IF($A22="",,SUMIFS(הוצאותמסודר!$E:$E, הוצאותמסודר!$G:$G, $A22, הוצאותמסודר!$B:$B, D$13))</f>
        <v>0</v>
      </c>
      <c r="E22" s="49">
        <f>IF($A22="",,SUMIFS(הוצאותמסודר!$E:$E, הוצאותמסודר!$G:$G, $A22, הוצאותמסודר!$B:$B, E$13))</f>
        <v>0</v>
      </c>
      <c r="F22" s="49">
        <f>IF($A22="",,SUMIFS(הוצאותמסודר!$E:$E, הוצאותמסודר!$G:$G, $A22, הוצאותמסודר!$B:$B, F$13))</f>
        <v>0</v>
      </c>
      <c r="G22" s="49">
        <f>IF($A22="",,SUMIFS(הוצאותמסודר!$E:$E, הוצאותמסודר!$G:$G, $A22, הוצאותמסודר!$B:$B, G$13))</f>
        <v>0</v>
      </c>
      <c r="H22" s="49"/>
    </row>
    <row r="23" spans="1:8" ht="21.05" customHeight="1">
      <c r="B23" s="49">
        <f>IF($A23="",,SUMIFS(הוצאותמסודר!$E:$E, הוצאותמסודר!$G:$G, $A23, הוצאותמסודר!$B:$B, B$13))</f>
        <v>0</v>
      </c>
      <c r="C23" s="49">
        <f>IF($A23="",,SUMIFS(הוצאותמסודר!$E:$E, הוצאותמסודר!$G:$G, $A23, הוצאותמסודר!$B:$B, C$13))</f>
        <v>0</v>
      </c>
      <c r="D23" s="49">
        <f>IF($A23="",,SUMIFS(הוצאותמסודר!$E:$E, הוצאותמסודר!$G:$G, $A23, הוצאותמסודר!$B:$B, D$13))</f>
        <v>0</v>
      </c>
      <c r="E23" s="49">
        <f>IF($A23="",,SUMIFS(הוצאותמסודר!$E:$E, הוצאותמסודר!$G:$G, $A23, הוצאותמסודר!$B:$B, E$13))</f>
        <v>0</v>
      </c>
      <c r="F23" s="49">
        <f>IF($A23="",,SUMIFS(הוצאותמסודר!$E:$E, הוצאותמסודר!$G:$G, $A23, הוצאותמסודר!$B:$B, F$13))</f>
        <v>0</v>
      </c>
      <c r="G23" s="49">
        <f>IF($A23="",,SUMIFS(הוצאותמסודר!$E:$E, הוצאותמסודר!$G:$G, $A23, הוצאותמסודר!$B:$B, G$13))</f>
        <v>0</v>
      </c>
      <c r="H23" s="49"/>
    </row>
    <row r="24" spans="1:8" ht="21.05" customHeight="1">
      <c r="B24" s="49">
        <f>IF($A24="",,SUMIFS(הוצאותמסודר!$E:$E, הוצאותמסודר!$G:$G, $A24, הוצאותמסודר!$B:$B, B$13))</f>
        <v>0</v>
      </c>
      <c r="C24" s="49">
        <f>IF($A24="",,SUMIFS(הוצאותמסודר!$E:$E, הוצאותמסודר!$G:$G, $A24, הוצאותמסודר!$B:$B, C$13))</f>
        <v>0</v>
      </c>
      <c r="D24" s="49">
        <f>IF($A24="",,SUMIFS(הוצאותמסודר!$E:$E, הוצאותמסודר!$G:$G, $A24, הוצאותמסודר!$B:$B, D$13))</f>
        <v>0</v>
      </c>
      <c r="E24" s="49">
        <f>IF($A24="",,SUMIFS(הוצאותמסודר!$E:$E, הוצאותמסודר!$G:$G, $A24, הוצאותמסודר!$B:$B, E$13))</f>
        <v>0</v>
      </c>
      <c r="F24" s="49">
        <f>IF($A24="",,SUMIFS(הוצאותמסודר!$E:$E, הוצאותמסודר!$G:$G, $A24, הוצאותמסודר!$B:$B, F$13))</f>
        <v>0</v>
      </c>
      <c r="G24" s="49">
        <f>IF($A24="",,SUMIFS(הוצאותמסודר!$E:$E, הוצאותמסודר!$G:$G, $A24, הוצאותמסודר!$B:$B, G$13))</f>
        <v>0</v>
      </c>
      <c r="H24" s="49"/>
    </row>
    <row r="25" spans="1:8" ht="21.05" customHeight="1">
      <c r="B25" s="49">
        <f>IF($A25="",,SUMIFS(הוצאותמסודר!$E:$E, הוצאותמסודר!$G:$G, $A25, הוצאותמסודר!$B:$B, B$13))</f>
        <v>0</v>
      </c>
      <c r="C25" s="49">
        <f>IF($A25="",,SUMIFS(הוצאותמסודר!$E:$E, הוצאותמסודר!$G:$G, $A25, הוצאותמסודר!$B:$B, C$13))</f>
        <v>0</v>
      </c>
      <c r="D25" s="49">
        <f>IF($A25="",,SUMIFS(הוצאותמסודר!$E:$E, הוצאותמסודר!$G:$G, $A25, הוצאותמסודר!$B:$B, D$13))</f>
        <v>0</v>
      </c>
      <c r="E25" s="49">
        <f>IF($A25="",,SUMIFS(הוצאותמסודר!$E:$E, הוצאותמסודר!$G:$G, $A25, הוצאותמסודר!$B:$B, E$13))</f>
        <v>0</v>
      </c>
      <c r="F25" s="49">
        <f>IF($A25="",,SUMIFS(הוצאותמסודר!$E:$E, הוצאותמסודר!$G:$G, $A25, הוצאותמסודר!$B:$B, F$13))</f>
        <v>0</v>
      </c>
      <c r="G25" s="49">
        <f>IF($A25="",,SUMIFS(הוצאותמסודר!$E:$E, הוצאותמסודר!$G:$G, $A25, הוצאותמסודר!$B:$B, G$13))</f>
        <v>0</v>
      </c>
      <c r="H25" s="49"/>
    </row>
    <row r="26" spans="1:8" ht="21.05" customHeight="1">
      <c r="B26" s="49">
        <f>IF($A26="",,SUMIFS(הוצאותמסודר!$E:$E, הוצאותמסודר!$G:$G, $A26, הוצאותמסודר!$B:$B, B$13))</f>
        <v>0</v>
      </c>
      <c r="C26" s="49">
        <f>IF($A26="",,SUMIFS(הוצאותמסודר!$E:$E, הוצאותמסודר!$G:$G, $A26, הוצאותמסודר!$B:$B, C$13))</f>
        <v>0</v>
      </c>
      <c r="D26" s="49">
        <f>IF($A26="",,SUMIFS(הוצאותמסודר!$E:$E, הוצאותמסודר!$G:$G, $A26, הוצאותמסודר!$B:$B, D$13))</f>
        <v>0</v>
      </c>
      <c r="E26" s="49">
        <f>IF($A26="",,SUMIFS(הוצאותמסודר!$E:$E, הוצאותמסודר!$G:$G, $A26, הוצאותמסודר!$B:$B, E$13))</f>
        <v>0</v>
      </c>
      <c r="F26" s="49">
        <f>IF($A26="",,SUMIFS(הוצאותמסודר!$E:$E, הוצאותמסודר!$G:$G, $A26, הוצאותמסודר!$B:$B, F$13))</f>
        <v>0</v>
      </c>
      <c r="G26" s="49">
        <f>IF($A26="",,SUMIFS(הוצאותמסודר!$E:$E, הוצאותמסודר!$G:$G, $A26, הוצאותמסודר!$B:$B, G$13))</f>
        <v>0</v>
      </c>
      <c r="H26" s="49"/>
    </row>
    <row r="27" spans="1:8" ht="21.05" customHeight="1">
      <c r="B27" s="49">
        <f>IF($A27="",,SUMIFS(הוצאותמסודר!$E:$E, הוצאותמסודר!$G:$G, $A27, הוצאותמסודר!$B:$B, B$13))</f>
        <v>0</v>
      </c>
      <c r="C27" s="49">
        <f>IF($A27="",,SUMIFS(הוצאותמסודר!$E:$E, הוצאותמסודר!$G:$G, $A27, הוצאותמסודר!$B:$B, C$13))</f>
        <v>0</v>
      </c>
      <c r="D27" s="49">
        <f>IF($A27="",,SUMIFS(הוצאותמסודר!$E:$E, הוצאותמסודר!$G:$G, $A27, הוצאותמסודר!$B:$B, D$13))</f>
        <v>0</v>
      </c>
      <c r="E27" s="49">
        <f>IF($A27="",,SUMIFS(הוצאותמסודר!$E:$E, הוצאותמסודר!$G:$G, $A27, הוצאותמסודר!$B:$B, E$13))</f>
        <v>0</v>
      </c>
      <c r="F27" s="49">
        <f>IF($A27="",,SUMIFS(הוצאותמסודר!$E:$E, הוצאותמסודר!$G:$G, $A27, הוצאותמסודר!$B:$B, F$13))</f>
        <v>0</v>
      </c>
      <c r="G27" s="49">
        <f>IF($A27="",,SUMIFS(הוצאותמסודר!$E:$E, הוצאותמסודר!$G:$G, $A27, הוצאותמסודר!$B:$B, G$13))</f>
        <v>0</v>
      </c>
      <c r="H27" s="49"/>
    </row>
    <row r="28" spans="1:8" ht="21.05" customHeight="1">
      <c r="B28" s="49">
        <f>IF($A28="",,SUMIFS(הוצאותמסודר!$E:$E, הוצאותמסודר!$G:$G, $A28, הוצאותמסודר!$B:$B, B$13))</f>
        <v>0</v>
      </c>
      <c r="C28" s="49">
        <f>IF($A28="",,SUMIFS(הוצאותמסודר!$E:$E, הוצאותמסודר!$G:$G, $A28, הוצאותמסודר!$B:$B, C$13))</f>
        <v>0</v>
      </c>
      <c r="D28" s="49">
        <f>IF($A28="",,SUMIFS(הוצאותמסודר!$E:$E, הוצאותמסודר!$G:$G, $A28, הוצאותמסודר!$B:$B, D$13))</f>
        <v>0</v>
      </c>
      <c r="E28" s="49">
        <f>IF($A28="",,SUMIFS(הוצאותמסודר!$E:$E, הוצאותמסודר!$G:$G, $A28, הוצאותמסודר!$B:$B, E$13))</f>
        <v>0</v>
      </c>
      <c r="F28" s="49">
        <f>IF($A28="",,SUMIFS(הוצאותמסודר!$E:$E, הוצאותמסודר!$G:$G, $A28, הוצאותמסודר!$B:$B, F$13))</f>
        <v>0</v>
      </c>
      <c r="G28" s="49">
        <f>IF($A28="",,SUMIFS(הוצאותמסודר!$E:$E, הוצאותמסודר!$G:$G, $A28, הוצאותמסודר!$B:$B, G$13))</f>
        <v>0</v>
      </c>
      <c r="H28" s="49"/>
    </row>
    <row r="29" spans="1:8" ht="21.05" customHeight="1">
      <c r="B29" s="49">
        <f>IF($A29="",,SUMIFS(הוצאותמסודר!$E:$E, הוצאותמסודר!$G:$G, $A29, הוצאותמסודר!$B:$B, B$13))</f>
        <v>0</v>
      </c>
      <c r="C29" s="49">
        <f>IF($A29="",,SUMIFS(הוצאותמסודר!$E:$E, הוצאותמסודר!$G:$G, $A29, הוצאותמסודר!$B:$B, C$13))</f>
        <v>0</v>
      </c>
      <c r="D29" s="49">
        <f>IF($A29="",,SUMIFS(הוצאותמסודר!$E:$E, הוצאותמסודר!$G:$G, $A29, הוצאותמסודר!$B:$B, D$13))</f>
        <v>0</v>
      </c>
      <c r="E29" s="49">
        <f>IF($A29="",,SUMIFS(הוצאותמסודר!$E:$E, הוצאותמסודר!$G:$G, $A29, הוצאותמסודר!$B:$B, E$13))</f>
        <v>0</v>
      </c>
      <c r="F29" s="49">
        <f>IF($A29="",,SUMIFS(הוצאותמסודר!$E:$E, הוצאותמסודר!$G:$G, $A29, הוצאותמסודר!$B:$B, F$13))</f>
        <v>0</v>
      </c>
      <c r="G29" s="49">
        <f>IF($A29="",,SUMIFS(הוצאותמסודר!$E:$E, הוצאותמסודר!$G:$G, $A29, הוצאותמסודר!$B:$B, G$13))</f>
        <v>0</v>
      </c>
      <c r="H29" s="49"/>
    </row>
    <row r="30" spans="1:8" ht="21.05" customHeight="1">
      <c r="B30" s="49">
        <f>IF($A30="",,SUMIFS(הוצאותמסודר!$E:$E, הוצאותמסודר!$G:$G, $A30, הוצאותמסודר!$B:$B, B$13))</f>
        <v>0</v>
      </c>
      <c r="C30" s="49">
        <f>IF($A30="",,SUMIFS(הוצאותמסודר!$E:$E, הוצאותמסודר!$G:$G, $A30, הוצאותמסודר!$B:$B, C$13))</f>
        <v>0</v>
      </c>
      <c r="D30" s="49">
        <f>IF($A30="",,SUMIFS(הוצאותמסודר!$E:$E, הוצאותמסודר!$G:$G, $A30, הוצאותמסודר!$B:$B, D$13))</f>
        <v>0</v>
      </c>
      <c r="E30" s="49">
        <f>IF($A30="",,SUMIFS(הוצאותמסודר!$E:$E, הוצאותמסודר!$G:$G, $A30, הוצאותמסודר!$B:$B, E$13))</f>
        <v>0</v>
      </c>
      <c r="F30" s="49">
        <f>IF($A30="",,SUMIFS(הוצאותמסודר!$E:$E, הוצאותמסודר!$G:$G, $A30, הוצאותמסודר!$B:$B, F$13))</f>
        <v>0</v>
      </c>
      <c r="G30" s="49">
        <f>IF($A30="",,SUMIFS(הוצאותמסודר!$E:$E, הוצאותמסודר!$G:$G, $A30, הוצאותמסודר!$B:$B, G$13))</f>
        <v>0</v>
      </c>
      <c r="H30" s="49"/>
    </row>
    <row r="31" spans="1:8" ht="21.05" customHeight="1">
      <c r="B31" s="49">
        <f>IF($A31="",,SUMIFS(הוצאותמסודר!$E:$E, הוצאותמסודר!$G:$G, $A31, הוצאותמסודר!$B:$B, B$13))</f>
        <v>0</v>
      </c>
      <c r="C31" s="49">
        <f>IF($A31="",,SUMIFS(הוצאותמסודר!$E:$E, הוצאותמסודר!$G:$G, $A31, הוצאותמסודר!$B:$B, C$13))</f>
        <v>0</v>
      </c>
      <c r="D31" s="49">
        <f>IF($A31="",,SUMIFS(הוצאותמסודר!$E:$E, הוצאותמסודר!$G:$G, $A31, הוצאותמסודר!$B:$B, D$13))</f>
        <v>0</v>
      </c>
      <c r="E31" s="49">
        <f>IF($A31="",,SUMIFS(הוצאותמסודר!$E:$E, הוצאותמסודר!$G:$G, $A31, הוצאותמסודר!$B:$B, E$13))</f>
        <v>0</v>
      </c>
      <c r="F31" s="49">
        <f>IF($A31="",,SUMIFS(הוצאותמסודר!$E:$E, הוצאותמסודר!$G:$G, $A31, הוצאותמסודר!$B:$B, F$13))</f>
        <v>0</v>
      </c>
      <c r="G31" s="49">
        <f>IF($A31="",,SUMIFS(הוצאותמסודר!$E:$E, הוצאותמסודר!$G:$G, $A31, הוצאותמסודר!$B:$B, G$13))</f>
        <v>0</v>
      </c>
      <c r="H31" s="49"/>
    </row>
    <row r="32" spans="1:8" ht="21.05" customHeight="1">
      <c r="B32" s="49">
        <f>IF($A32="",,SUMIFS(הוצאותמסודר!$E:$E, הוצאותמסודר!$G:$G, $A32, הוצאותמסודר!$B:$B, B$13))</f>
        <v>0</v>
      </c>
      <c r="C32" s="49">
        <f>IF($A32="",,SUMIFS(הוצאותמסודר!$E:$E, הוצאותמסודר!$G:$G, $A32, הוצאותמסודר!$B:$B, C$13))</f>
        <v>0</v>
      </c>
      <c r="D32" s="49">
        <f>IF($A32="",,SUMIFS(הוצאותמסודר!$E:$E, הוצאותמסודר!$G:$G, $A32, הוצאותמסודר!$B:$B, D$13))</f>
        <v>0</v>
      </c>
      <c r="E32" s="49">
        <f>IF($A32="",,SUMIFS(הוצאותמסודר!$E:$E, הוצאותמסודר!$G:$G, $A32, הוצאותמסודר!$B:$B, E$13))</f>
        <v>0</v>
      </c>
      <c r="F32" s="49">
        <f>IF($A32="",,SUMIFS(הוצאותמסודר!$E:$E, הוצאותמסודר!$G:$G, $A32, הוצאותמסודר!$B:$B, F$13))</f>
        <v>0</v>
      </c>
      <c r="G32" s="49">
        <f>IF($A32="",,SUMIFS(הוצאותמסודר!$E:$E, הוצאותמסודר!$G:$G, $A32, הוצאותמסודר!$B:$B, G$13))</f>
        <v>0</v>
      </c>
      <c r="H32" s="49"/>
    </row>
    <row r="33" spans="2:8" ht="21.05" customHeight="1">
      <c r="B33" s="49">
        <f>IF($A33="",,SUMIFS(הוצאותמסודר!$E:$E, הוצאותמסודר!$G:$G, $A33, הוצאותמסודר!$B:$B, B$13))</f>
        <v>0</v>
      </c>
      <c r="C33" s="49">
        <f>IF($A33="",,SUMIFS(הוצאותמסודר!$E:$E, הוצאותמסודר!$G:$G, $A33, הוצאותמסודר!$B:$B, C$13))</f>
        <v>0</v>
      </c>
      <c r="D33" s="49">
        <f>IF($A33="",,SUMIFS(הוצאותמסודר!$E:$E, הוצאותמסודר!$G:$G, $A33, הוצאותמסודר!$B:$B, D$13))</f>
        <v>0</v>
      </c>
      <c r="E33" s="49">
        <f>IF($A33="",,SUMIFS(הוצאותמסודר!$E:$E, הוצאותמסודר!$G:$G, $A33, הוצאותמסודר!$B:$B, E$13))</f>
        <v>0</v>
      </c>
      <c r="F33" s="49">
        <f>IF($A33="",,SUMIFS(הוצאותמסודר!$E:$E, הוצאותמסודר!$G:$G, $A33, הוצאותמסודר!$B:$B, F$13))</f>
        <v>0</v>
      </c>
      <c r="G33" s="49">
        <f>IF($A33="",,SUMIFS(הוצאותמסודר!$E:$E, הוצאותמסודר!$G:$G, $A33, הוצאותמסודר!$B:$B, G$13))</f>
        <v>0</v>
      </c>
      <c r="H33" s="49"/>
    </row>
    <row r="34" spans="2:8" ht="21.05" customHeight="1">
      <c r="B34" s="49">
        <f>IF($A34="",,SUMIFS(הוצאותמסודר!$E:$E, הוצאותמסודר!$G:$G, $A34, הוצאותמסודר!$B:$B, B$13))</f>
        <v>0</v>
      </c>
      <c r="C34" s="49">
        <f>IF($A34="",,SUMIFS(הוצאותמסודר!$E:$E, הוצאותמסודר!$G:$G, $A34, הוצאותמסודר!$B:$B, C$13))</f>
        <v>0</v>
      </c>
      <c r="D34" s="49">
        <f>IF($A34="",,SUMIFS(הוצאותמסודר!$E:$E, הוצאותמסודר!$G:$G, $A34, הוצאותמסודר!$B:$B, D$13))</f>
        <v>0</v>
      </c>
      <c r="E34" s="49">
        <f>IF($A34="",,SUMIFS(הוצאותמסודר!$E:$E, הוצאותמסודר!$G:$G, $A34, הוצאותמסודר!$B:$B, E$13))</f>
        <v>0</v>
      </c>
      <c r="F34" s="49">
        <f>IF($A34="",,SUMIFS(הוצאותמסודר!$E:$E, הוצאותמסודר!$G:$G, $A34, הוצאותמסודר!$B:$B, F$13))</f>
        <v>0</v>
      </c>
      <c r="G34" s="49">
        <f>IF($A34="",,SUMIFS(הוצאותמסודר!$E:$E, הוצאותמסודר!$G:$G, $A34, הוצאותמסודר!$B:$B, G$13))</f>
        <v>0</v>
      </c>
      <c r="H34" s="49"/>
    </row>
    <row r="35" spans="2:8" ht="21.05" customHeight="1">
      <c r="B35" s="49">
        <f>IF($A35="",,SUMIFS(הוצאותמסודר!$E:$E, הוצאותמסודר!$G:$G, $A35, הוצאותמסודר!$B:$B, B$13))</f>
        <v>0</v>
      </c>
      <c r="C35" s="49">
        <f>IF($A35="",,SUMIFS(הוצאותמסודר!$E:$E, הוצאותמסודר!$G:$G, $A35, הוצאותמסודר!$B:$B, C$13))</f>
        <v>0</v>
      </c>
      <c r="D35" s="49">
        <f>IF($A35="",,SUMIFS(הוצאותמסודר!$E:$E, הוצאותמסודר!$G:$G, $A35, הוצאותמסודר!$B:$B, D$13))</f>
        <v>0</v>
      </c>
      <c r="E35" s="49">
        <f>IF($A35="",,SUMIFS(הוצאותמסודר!$E:$E, הוצאותמסודר!$G:$G, $A35, הוצאותמסודר!$B:$B, E$13))</f>
        <v>0</v>
      </c>
      <c r="F35" s="49">
        <f>IF($A35="",,SUMIFS(הוצאותמסודר!$E:$E, הוצאותמסודר!$G:$G, $A35, הוצאותמסודר!$B:$B, F$13))</f>
        <v>0</v>
      </c>
      <c r="G35" s="49">
        <f>IF($A35="",,SUMIFS(הוצאותמסודר!$E:$E, הוצאותמסודר!$G:$G, $A35, הוצאותמסודר!$B:$B, G$13))</f>
        <v>0</v>
      </c>
      <c r="H35" s="49"/>
    </row>
    <row r="36" spans="2:8" ht="21.05" customHeight="1">
      <c r="B36" s="49">
        <f>IF($A36="",,SUMIFS(הוצאותמסודר!$E:$E, הוצאותמסודר!$G:$G, $A36, הוצאותמסודר!$B:$B, B$13))</f>
        <v>0</v>
      </c>
      <c r="C36" s="49">
        <f>IF($A36="",,SUMIFS(הוצאותמסודר!$E:$E, הוצאותמסודר!$G:$G, $A36, הוצאותמסודר!$B:$B, C$13))</f>
        <v>0</v>
      </c>
      <c r="D36" s="49">
        <f>IF($A36="",,SUMIFS(הוצאותמסודר!$E:$E, הוצאותמסודר!$G:$G, $A36, הוצאותמסודר!$B:$B, D$13))</f>
        <v>0</v>
      </c>
      <c r="E36" s="49">
        <f>IF($A36="",,SUMIFS(הוצאותמסודר!$E:$E, הוצאותמסודר!$G:$G, $A36, הוצאותמסודר!$B:$B, E$13))</f>
        <v>0</v>
      </c>
      <c r="F36" s="49">
        <f>IF($A36="",,SUMIFS(הוצאותמסודר!$E:$E, הוצאותמסודר!$G:$G, $A36, הוצאותמסודר!$B:$B, F$13))</f>
        <v>0</v>
      </c>
      <c r="G36" s="49">
        <f>IF($A36="",,SUMIFS(הוצאותמסודר!$E:$E, הוצאותמסודר!$G:$G, $A36, הוצאותמסודר!$B:$B, G$13))</f>
        <v>0</v>
      </c>
      <c r="H36" s="49"/>
    </row>
    <row r="37" spans="2:8" ht="21.05" customHeight="1">
      <c r="B37" s="49">
        <f>IF($A37="",,SUMIFS(הוצאותמסודר!$E:$E, הוצאותמסודר!$G:$G, $A37, הוצאותמסודר!$B:$B, B$13))</f>
        <v>0</v>
      </c>
      <c r="C37" s="49">
        <f>IF($A37="",,SUMIFS(הוצאותמסודר!$E:$E, הוצאותמסודר!$G:$G, $A37, הוצאותמסודר!$B:$B, C$13))</f>
        <v>0</v>
      </c>
      <c r="D37" s="49">
        <f>IF($A37="",,SUMIFS(הוצאותמסודר!$E:$E, הוצאותמסודר!$G:$G, $A37, הוצאותמסודר!$B:$B, D$13))</f>
        <v>0</v>
      </c>
      <c r="E37" s="49">
        <f>IF($A37="",,SUMIFS(הוצאותמסודר!$E:$E, הוצאותמסודר!$G:$G, $A37, הוצאותמסודר!$B:$B, E$13))</f>
        <v>0</v>
      </c>
      <c r="F37" s="49">
        <f>IF($A37="",,SUMIFS(הוצאותמסודר!$E:$E, הוצאותמסודר!$G:$G, $A37, הוצאותמסודר!$B:$B, F$13))</f>
        <v>0</v>
      </c>
      <c r="G37" s="49">
        <f>IF($A37="",,SUMIFS(הוצאותמסודר!$E:$E, הוצאותמסודר!$G:$G, $A37, הוצאותמסודר!$B:$B, G$13))</f>
        <v>0</v>
      </c>
      <c r="H37" s="49"/>
    </row>
    <row r="38" spans="2:8" ht="21.05" customHeight="1">
      <c r="B38" s="49">
        <f>IF($A38="",,SUMIFS(הוצאותמסודר!$E:$E, הוצאותמסודר!$G:$G, $A38, הוצאותמסודר!$B:$B, B$13))</f>
        <v>0</v>
      </c>
      <c r="C38" s="49">
        <f>IF($A38="",,SUMIFS(הוצאותמסודר!$E:$E, הוצאותמסודר!$G:$G, $A38, הוצאותמסודר!$B:$B, C$13))</f>
        <v>0</v>
      </c>
      <c r="D38" s="49">
        <f>IF($A38="",,SUMIFS(הוצאותמסודר!$E:$E, הוצאותמסודר!$G:$G, $A38, הוצאותמסודר!$B:$B, D$13))</f>
        <v>0</v>
      </c>
      <c r="E38" s="49">
        <f>IF($A38="",,SUMIFS(הוצאותמסודר!$E:$E, הוצאותמסודר!$G:$G, $A38, הוצאותמסודר!$B:$B, E$13))</f>
        <v>0</v>
      </c>
      <c r="F38" s="49">
        <f>IF($A38="",,SUMIFS(הוצאותמסודר!$E:$E, הוצאותמסודר!$G:$G, $A38, הוצאותמסודר!$B:$B, F$13))</f>
        <v>0</v>
      </c>
      <c r="G38" s="49">
        <f>IF($A38="",,SUMIFS(הוצאותמסודר!$E:$E, הוצאותמסודר!$G:$G, $A38, הוצאותמסודר!$B:$B, G$13))</f>
        <v>0</v>
      </c>
      <c r="H38" s="49"/>
    </row>
    <row r="39" spans="2:8" ht="21.05" customHeight="1">
      <c r="B39" s="49"/>
      <c r="C39" s="49"/>
      <c r="D39" s="49"/>
      <c r="E39" s="49"/>
      <c r="F39" s="49"/>
      <c r="G39" s="49"/>
      <c r="H39" s="49"/>
    </row>
    <row r="40" spans="2:8" ht="21.05" customHeight="1">
      <c r="B40" s="49"/>
      <c r="C40" s="49"/>
      <c r="D40" s="49"/>
      <c r="E40" s="49"/>
      <c r="F40" s="49"/>
      <c r="G40" s="49"/>
      <c r="H40" s="49"/>
    </row>
    <row r="41" spans="2:8" ht="21.05" customHeight="1">
      <c r="B41" s="49"/>
      <c r="C41" s="49"/>
      <c r="D41" s="49"/>
      <c r="E41" s="49"/>
      <c r="F41" s="49"/>
      <c r="G41" s="49"/>
      <c r="H41" s="49"/>
    </row>
    <row r="42" spans="2:8" ht="21.05" customHeight="1">
      <c r="B42" s="49"/>
      <c r="C42" s="49"/>
      <c r="D42" s="49"/>
      <c r="E42" s="49"/>
      <c r="F42" s="49"/>
      <c r="G42" s="49"/>
      <c r="H42" s="49"/>
    </row>
    <row r="43" spans="2:8" ht="21.05" customHeight="1">
      <c r="B43" s="49"/>
      <c r="C43" s="49"/>
      <c r="D43" s="49"/>
      <c r="E43" s="49"/>
      <c r="F43" s="49"/>
      <c r="G43" s="49"/>
      <c r="H43" s="49"/>
    </row>
    <row r="44" spans="2:8" ht="21.05" customHeight="1">
      <c r="B44" s="49"/>
      <c r="C44" s="49"/>
      <c r="D44" s="49"/>
      <c r="E44" s="49"/>
      <c r="F44" s="49"/>
      <c r="G44" s="49"/>
      <c r="H44" s="49"/>
    </row>
    <row r="45" spans="2:8" ht="21.05" customHeight="1">
      <c r="B45" s="49"/>
      <c r="C45" s="49"/>
      <c r="D45" s="49"/>
      <c r="E45" s="49"/>
      <c r="F45" s="49"/>
      <c r="G45" s="49"/>
      <c r="H45" s="49"/>
    </row>
    <row r="46" spans="2:8" ht="21.05" customHeight="1">
      <c r="B46" s="49"/>
      <c r="C46" s="49"/>
      <c r="D46" s="49"/>
      <c r="E46" s="49"/>
      <c r="F46" s="49"/>
      <c r="G46" s="49"/>
      <c r="H46" s="49"/>
    </row>
    <row r="47" spans="2:8" ht="21.05" customHeight="1">
      <c r="B47" s="49"/>
      <c r="C47" s="49"/>
      <c r="D47" s="49"/>
      <c r="E47" s="49"/>
      <c r="F47" s="49"/>
      <c r="G47" s="49"/>
      <c r="H47" s="49"/>
    </row>
    <row r="48" spans="2:8" ht="21.05" customHeight="1">
      <c r="B48" s="49"/>
      <c r="C48" s="49"/>
      <c r="D48" s="49"/>
      <c r="E48" s="49"/>
      <c r="F48" s="49"/>
      <c r="G48" s="49"/>
      <c r="H48" s="49"/>
    </row>
    <row r="49" spans="2:8" ht="21.05" customHeight="1">
      <c r="B49" s="49"/>
      <c r="C49" s="49"/>
      <c r="D49" s="49"/>
      <c r="E49" s="49"/>
      <c r="F49" s="49"/>
      <c r="G49" s="49"/>
      <c r="H49" s="49"/>
    </row>
    <row r="50" spans="2:8" ht="21.05" customHeight="1">
      <c r="B50" s="49"/>
      <c r="C50" s="49"/>
      <c r="D50" s="49"/>
      <c r="E50" s="49"/>
      <c r="F50" s="49"/>
      <c r="G50" s="49"/>
      <c r="H50" s="49"/>
    </row>
    <row r="51" spans="2:8" ht="21.05" customHeight="1">
      <c r="B51" s="49"/>
      <c r="C51" s="49"/>
      <c r="D51" s="49"/>
      <c r="E51" s="49"/>
      <c r="F51" s="49"/>
      <c r="G51" s="49"/>
      <c r="H51" s="49"/>
    </row>
    <row r="52" spans="2:8" ht="21.05" customHeight="1">
      <c r="B52" s="49"/>
      <c r="C52" s="49"/>
      <c r="D52" s="49"/>
      <c r="E52" s="49"/>
      <c r="F52" s="49"/>
      <c r="G52" s="49"/>
      <c r="H52" s="49"/>
    </row>
    <row r="53" spans="2:8" ht="21.05" customHeight="1">
      <c r="B53" s="49"/>
      <c r="C53" s="49"/>
      <c r="D53" s="49"/>
      <c r="E53" s="49"/>
      <c r="F53" s="49"/>
      <c r="G53" s="49"/>
      <c r="H53" s="49"/>
    </row>
    <row r="54" spans="2:8" ht="21.05" customHeight="1">
      <c r="B54" s="49"/>
      <c r="C54" s="49"/>
      <c r="D54" s="49"/>
      <c r="E54" s="49"/>
      <c r="F54" s="49"/>
      <c r="G54" s="49"/>
      <c r="H54" s="49"/>
    </row>
    <row r="55" spans="2:8" ht="21.05" customHeight="1">
      <c r="B55" s="49"/>
      <c r="C55" s="49"/>
      <c r="D55" s="49"/>
      <c r="E55" s="49"/>
      <c r="F55" s="49"/>
      <c r="G55" s="49"/>
      <c r="H55" s="49"/>
    </row>
    <row r="56" spans="2:8" ht="21.05" customHeight="1">
      <c r="B56" s="49"/>
      <c r="C56" s="49"/>
      <c r="D56" s="49"/>
      <c r="E56" s="49"/>
      <c r="F56" s="49"/>
      <c r="G56" s="49"/>
      <c r="H56" s="49"/>
    </row>
    <row r="57" spans="2:8" ht="21.05" customHeight="1">
      <c r="B57" s="49"/>
      <c r="C57" s="49"/>
      <c r="D57" s="49"/>
      <c r="E57" s="49"/>
      <c r="F57" s="49"/>
      <c r="G57" s="49"/>
      <c r="H57" s="49"/>
    </row>
    <row r="58" spans="2:8" ht="21.05" customHeight="1">
      <c r="B58" s="49"/>
      <c r="C58" s="49"/>
      <c r="D58" s="49"/>
      <c r="E58" s="49"/>
      <c r="F58" s="49"/>
      <c r="G58" s="49"/>
      <c r="H58" s="49"/>
    </row>
    <row r="59" spans="2:8" ht="21.05" customHeight="1">
      <c r="B59" s="49"/>
      <c r="C59" s="49"/>
      <c r="D59" s="49"/>
      <c r="E59" s="49"/>
      <c r="F59" s="49"/>
      <c r="G59" s="49"/>
      <c r="H59" s="49"/>
    </row>
    <row r="60" spans="2:8" ht="21.05" customHeight="1">
      <c r="B60" s="49"/>
      <c r="C60" s="49"/>
      <c r="D60" s="49"/>
      <c r="E60" s="49"/>
      <c r="F60" s="49"/>
      <c r="G60" s="49"/>
      <c r="H60" s="49"/>
    </row>
    <row r="61" spans="2:8" ht="21.05" customHeight="1">
      <c r="B61" s="49"/>
      <c r="C61" s="49"/>
      <c r="D61" s="49"/>
      <c r="E61" s="49"/>
      <c r="F61" s="49"/>
      <c r="G61" s="49"/>
      <c r="H61" s="49"/>
    </row>
    <row r="62" spans="2:8" ht="21.05" customHeight="1">
      <c r="B62" s="49"/>
      <c r="C62" s="49"/>
      <c r="D62" s="49"/>
      <c r="E62" s="49"/>
      <c r="F62" s="49"/>
      <c r="G62" s="49"/>
      <c r="H62" s="49"/>
    </row>
    <row r="63" spans="2:8" ht="21.05" customHeight="1">
      <c r="B63" s="49"/>
      <c r="C63" s="49"/>
      <c r="D63" s="49"/>
      <c r="E63" s="49"/>
      <c r="F63" s="49"/>
      <c r="G63" s="49"/>
      <c r="H63" s="49"/>
    </row>
    <row r="64" spans="2:8" ht="21.05" customHeight="1">
      <c r="B64" s="49"/>
      <c r="C64" s="49"/>
      <c r="D64" s="49"/>
      <c r="E64" s="49"/>
      <c r="F64" s="49"/>
      <c r="G64" s="49"/>
      <c r="H64" s="49"/>
    </row>
    <row r="65" spans="2:8" ht="21.05" customHeight="1">
      <c r="B65" s="49"/>
      <c r="C65" s="49"/>
      <c r="D65" s="49"/>
      <c r="E65" s="49"/>
      <c r="F65" s="49"/>
      <c r="G65" s="49"/>
      <c r="H65" s="49"/>
    </row>
    <row r="66" spans="2:8" ht="21.05" customHeight="1">
      <c r="B66" s="49"/>
      <c r="C66" s="49"/>
      <c r="D66" s="49"/>
      <c r="E66" s="49"/>
      <c r="F66" s="49"/>
      <c r="G66" s="49"/>
      <c r="H66" s="49"/>
    </row>
    <row r="67" spans="2:8" ht="21.05" customHeight="1">
      <c r="B67" s="49"/>
      <c r="C67" s="49"/>
      <c r="D67" s="49"/>
      <c r="E67" s="49"/>
      <c r="F67" s="49"/>
      <c r="G67" s="49"/>
      <c r="H67" s="49"/>
    </row>
    <row r="68" spans="2:8" ht="21.05" customHeight="1">
      <c r="B68" s="49"/>
      <c r="C68" s="49"/>
      <c r="D68" s="49"/>
      <c r="E68" s="49"/>
      <c r="F68" s="49"/>
      <c r="G68" s="49"/>
      <c r="H68" s="49"/>
    </row>
    <row r="69" spans="2:8" ht="21.05" customHeight="1">
      <c r="B69" s="49"/>
      <c r="C69" s="49"/>
      <c r="D69" s="49"/>
      <c r="E69" s="49"/>
      <c r="F69" s="49"/>
      <c r="G69" s="49"/>
      <c r="H69" s="49"/>
    </row>
    <row r="70" spans="2:8" ht="21.05" customHeight="1">
      <c r="B70" s="49"/>
      <c r="C70" s="49"/>
      <c r="D70" s="49"/>
      <c r="E70" s="49"/>
      <c r="F70" s="49"/>
      <c r="G70" s="49"/>
      <c r="H70" s="49"/>
    </row>
    <row r="71" spans="2:8" ht="21.05" customHeight="1">
      <c r="B71" s="49"/>
      <c r="C71" s="49"/>
      <c r="D71" s="49"/>
      <c r="E71" s="49"/>
      <c r="F71" s="49"/>
      <c r="G71" s="49"/>
      <c r="H71" s="49"/>
    </row>
    <row r="72" spans="2:8" ht="21.05" customHeight="1">
      <c r="B72" s="49"/>
      <c r="C72" s="49"/>
      <c r="D72" s="49"/>
      <c r="E72" s="49"/>
      <c r="F72" s="49"/>
      <c r="G72" s="49"/>
      <c r="H72" s="49"/>
    </row>
    <row r="73" spans="2:8" ht="21.05" customHeight="1">
      <c r="B73" s="49"/>
      <c r="C73" s="49"/>
      <c r="D73" s="49"/>
      <c r="E73" s="49"/>
      <c r="F73" s="49"/>
      <c r="G73" s="49"/>
      <c r="H73" s="49"/>
    </row>
    <row r="74" spans="2:8" ht="21.05" customHeight="1">
      <c r="B74" s="49"/>
      <c r="C74" s="49"/>
      <c r="D74" s="49"/>
      <c r="E74" s="49"/>
      <c r="F74" s="49"/>
      <c r="G74" s="49"/>
      <c r="H74" s="49"/>
    </row>
    <row r="75" spans="2:8" ht="21.05" customHeight="1">
      <c r="B75" s="49"/>
      <c r="C75" s="49"/>
      <c r="D75" s="49"/>
      <c r="E75" s="49"/>
      <c r="F75" s="49"/>
      <c r="G75" s="49"/>
      <c r="H75" s="49"/>
    </row>
    <row r="76" spans="2:8" ht="21.05" customHeight="1">
      <c r="B76" s="49"/>
      <c r="C76" s="49"/>
      <c r="D76" s="49"/>
      <c r="E76" s="49"/>
      <c r="F76" s="49"/>
      <c r="G76" s="49"/>
      <c r="H76" s="49"/>
    </row>
    <row r="77" spans="2:8" ht="21.05" customHeight="1">
      <c r="B77" s="49"/>
      <c r="C77" s="49"/>
      <c r="D77" s="49"/>
      <c r="E77" s="49"/>
      <c r="F77" s="49"/>
      <c r="G77" s="49"/>
      <c r="H77" s="49"/>
    </row>
    <row r="78" spans="2:8" ht="21.05" customHeight="1">
      <c r="B78" s="49"/>
      <c r="C78" s="49"/>
      <c r="D78" s="49"/>
      <c r="E78" s="49"/>
      <c r="F78" s="49"/>
      <c r="G78" s="49"/>
      <c r="H78" s="49"/>
    </row>
    <row r="79" spans="2:8" ht="21.05" customHeight="1">
      <c r="B79" s="49"/>
      <c r="C79" s="49"/>
      <c r="D79" s="49"/>
      <c r="E79" s="49"/>
      <c r="F79" s="49"/>
      <c r="G79" s="49"/>
      <c r="H79" s="49"/>
    </row>
    <row r="80" spans="2:8" ht="21.05" customHeight="1">
      <c r="B80" s="49"/>
      <c r="C80" s="49"/>
      <c r="D80" s="49"/>
      <c r="E80" s="49"/>
      <c r="F80" s="49"/>
      <c r="G80" s="49"/>
      <c r="H80" s="49"/>
    </row>
    <row r="81" spans="2:8" ht="21.05" customHeight="1">
      <c r="B81" s="49"/>
      <c r="C81" s="49"/>
      <c r="D81" s="49"/>
      <c r="E81" s="49"/>
      <c r="F81" s="49"/>
      <c r="G81" s="49"/>
      <c r="H81" s="49"/>
    </row>
    <row r="82" spans="2:8" ht="21.05" customHeight="1">
      <c r="B82" s="49"/>
      <c r="C82" s="49"/>
      <c r="D82" s="49"/>
      <c r="E82" s="49"/>
      <c r="F82" s="49"/>
      <c r="G82" s="49"/>
      <c r="H82" s="49"/>
    </row>
    <row r="83" spans="2:8" ht="21.05" customHeight="1">
      <c r="B83" s="49"/>
      <c r="C83" s="49"/>
      <c r="D83" s="49"/>
      <c r="E83" s="49"/>
      <c r="F83" s="49"/>
      <c r="G83" s="49"/>
      <c r="H83" s="49"/>
    </row>
    <row r="84" spans="2:8" ht="21.05" customHeight="1">
      <c r="B84" s="49"/>
      <c r="C84" s="49"/>
      <c r="D84" s="49"/>
      <c r="E84" s="49"/>
      <c r="F84" s="49"/>
      <c r="G84" s="49"/>
      <c r="H84" s="49"/>
    </row>
    <row r="85" spans="2:8" ht="21.05" customHeight="1">
      <c r="B85" s="49"/>
      <c r="C85" s="49"/>
      <c r="D85" s="49"/>
      <c r="E85" s="49"/>
      <c r="F85" s="49"/>
      <c r="G85" s="49"/>
      <c r="H85" s="49"/>
    </row>
    <row r="86" spans="2:8" ht="21.05" customHeight="1">
      <c r="B86" s="49"/>
      <c r="C86" s="49"/>
      <c r="D86" s="49"/>
      <c r="E86" s="49"/>
      <c r="F86" s="49"/>
      <c r="G86" s="49"/>
      <c r="H86" s="49"/>
    </row>
    <row r="87" spans="2:8" ht="21.05" customHeight="1">
      <c r="B87" s="49"/>
      <c r="C87" s="49"/>
      <c r="D87" s="49"/>
      <c r="E87" s="49"/>
      <c r="F87" s="49"/>
      <c r="G87" s="49"/>
      <c r="H87" s="49"/>
    </row>
    <row r="88" spans="2:8" ht="21.05" customHeight="1">
      <c r="B88" s="49"/>
      <c r="C88" s="49"/>
      <c r="D88" s="49"/>
      <c r="E88" s="49"/>
      <c r="F88" s="49"/>
      <c r="G88" s="49"/>
      <c r="H88" s="49"/>
    </row>
    <row r="89" spans="2:8" ht="21.05" customHeight="1">
      <c r="B89" s="49"/>
      <c r="C89" s="49"/>
      <c r="D89" s="49"/>
      <c r="E89" s="49"/>
      <c r="F89" s="49"/>
      <c r="G89" s="49"/>
      <c r="H89" s="49"/>
    </row>
    <row r="90" spans="2:8" ht="21.05" customHeight="1">
      <c r="B90" s="49"/>
      <c r="C90" s="49"/>
      <c r="D90" s="49"/>
      <c r="E90" s="49"/>
      <c r="F90" s="49"/>
      <c r="G90" s="49"/>
      <c r="H90" s="49"/>
    </row>
    <row r="91" spans="2:8" ht="21.05" customHeight="1">
      <c r="B91" s="49"/>
      <c r="C91" s="49"/>
      <c r="D91" s="49"/>
      <c r="E91" s="49"/>
      <c r="F91" s="49"/>
      <c r="G91" s="49"/>
      <c r="H91" s="49"/>
    </row>
    <row r="92" spans="2:8" ht="21.05" customHeight="1">
      <c r="B92" s="49"/>
      <c r="C92" s="49"/>
      <c r="D92" s="49"/>
      <c r="E92" s="49"/>
      <c r="F92" s="49"/>
      <c r="G92" s="49"/>
      <c r="H92" s="49"/>
    </row>
    <row r="93" spans="2:8" ht="21.05" customHeight="1">
      <c r="B93" s="49"/>
      <c r="C93" s="49"/>
      <c r="D93" s="49"/>
      <c r="E93" s="49"/>
      <c r="F93" s="49"/>
      <c r="G93" s="49"/>
      <c r="H93" s="49"/>
    </row>
    <row r="94" spans="2:8" ht="21.05" customHeight="1">
      <c r="B94" s="49"/>
      <c r="C94" s="49"/>
      <c r="D94" s="49"/>
      <c r="E94" s="49"/>
      <c r="F94" s="49"/>
      <c r="G94" s="49"/>
      <c r="H94" s="49"/>
    </row>
    <row r="95" spans="2:8" ht="21.05" customHeight="1">
      <c r="B95" s="49"/>
      <c r="C95" s="49"/>
      <c r="D95" s="49"/>
      <c r="E95" s="49"/>
      <c r="F95" s="49"/>
      <c r="G95" s="49"/>
      <c r="H95" s="49"/>
    </row>
    <row r="96" spans="2:8" ht="21.05" customHeight="1">
      <c r="B96" s="49"/>
      <c r="C96" s="49"/>
      <c r="D96" s="49"/>
      <c r="E96" s="49"/>
      <c r="F96" s="49"/>
      <c r="G96" s="49"/>
      <c r="H96" s="49"/>
    </row>
    <row r="97" spans="2:8" ht="21.05" customHeight="1">
      <c r="B97" s="49"/>
      <c r="C97" s="49"/>
      <c r="D97" s="49"/>
      <c r="E97" s="49"/>
      <c r="F97" s="49"/>
      <c r="G97" s="49"/>
      <c r="H97" s="49"/>
    </row>
    <row r="98" spans="2:8" ht="21.05" customHeight="1">
      <c r="B98" s="49"/>
      <c r="C98" s="49"/>
      <c r="D98" s="49"/>
      <c r="E98" s="49"/>
      <c r="F98" s="49"/>
      <c r="G98" s="49"/>
      <c r="H98" s="49"/>
    </row>
    <row r="99" spans="2:8" ht="21.05" customHeight="1">
      <c r="B99" s="49"/>
      <c r="C99" s="49"/>
      <c r="D99" s="49"/>
      <c r="E99" s="49"/>
      <c r="F99" s="49"/>
      <c r="G99" s="49"/>
      <c r="H99" s="49"/>
    </row>
    <row r="100" spans="2:8" ht="21.05" customHeight="1">
      <c r="B100" s="49"/>
      <c r="C100" s="49"/>
      <c r="D100" s="49"/>
      <c r="E100" s="49"/>
      <c r="F100" s="49"/>
      <c r="G100" s="49"/>
      <c r="H100" s="49"/>
    </row>
    <row r="101" spans="2:8" ht="21.05" customHeight="1">
      <c r="B101" s="49"/>
      <c r="C101" s="49"/>
      <c r="D101" s="49"/>
      <c r="E101" s="49"/>
      <c r="F101" s="49"/>
      <c r="G101" s="49"/>
      <c r="H101" s="49"/>
    </row>
    <row r="102" spans="2:8" ht="21.05" customHeight="1">
      <c r="B102" s="49"/>
      <c r="C102" s="49"/>
      <c r="D102" s="49"/>
      <c r="E102" s="49"/>
      <c r="F102" s="49"/>
      <c r="G102" s="49"/>
      <c r="H102" s="49"/>
    </row>
    <row r="103" spans="2:8" ht="21.05" customHeight="1">
      <c r="B103" s="49"/>
      <c r="C103" s="49"/>
      <c r="D103" s="49"/>
      <c r="E103" s="49"/>
      <c r="F103" s="49"/>
      <c r="G103" s="49"/>
      <c r="H103" s="49"/>
    </row>
    <row r="104" spans="2:8" ht="21.05" customHeight="1">
      <c r="B104" s="49"/>
      <c r="C104" s="49"/>
      <c r="D104" s="49"/>
      <c r="E104" s="49"/>
      <c r="F104" s="49"/>
      <c r="G104" s="49"/>
      <c r="H104" s="49"/>
    </row>
    <row r="105" spans="2:8" ht="21.05" customHeight="1">
      <c r="B105" s="49"/>
      <c r="C105" s="49"/>
      <c r="D105" s="49"/>
      <c r="E105" s="49"/>
      <c r="F105" s="49"/>
      <c r="G105" s="49"/>
      <c r="H105" s="49"/>
    </row>
    <row r="106" spans="2:8" ht="21.05" customHeight="1">
      <c r="B106" s="49"/>
      <c r="C106" s="49"/>
      <c r="D106" s="49"/>
      <c r="E106" s="49"/>
      <c r="F106" s="49"/>
      <c r="G106" s="49"/>
      <c r="H106" s="49"/>
    </row>
    <row r="107" spans="2:8" ht="21.05" customHeight="1">
      <c r="B107" s="49"/>
      <c r="C107" s="49"/>
      <c r="D107" s="49"/>
      <c r="E107" s="49"/>
      <c r="F107" s="49"/>
      <c r="G107" s="49"/>
      <c r="H107" s="49"/>
    </row>
    <row r="108" spans="2:8" ht="21.05" customHeight="1">
      <c r="B108" s="49"/>
      <c r="C108" s="49"/>
      <c r="D108" s="49"/>
      <c r="E108" s="49"/>
      <c r="F108" s="49"/>
      <c r="G108" s="49"/>
      <c r="H108" s="49"/>
    </row>
    <row r="109" spans="2:8" ht="21.05" customHeight="1">
      <c r="B109" s="49"/>
      <c r="C109" s="49"/>
      <c r="D109" s="49"/>
      <c r="E109" s="49"/>
      <c r="F109" s="49"/>
      <c r="G109" s="49"/>
      <c r="H109" s="49"/>
    </row>
    <row r="110" spans="2:8" ht="21.05" customHeight="1">
      <c r="B110" s="49"/>
      <c r="C110" s="49"/>
      <c r="D110" s="49"/>
      <c r="E110" s="49"/>
      <c r="F110" s="49"/>
      <c r="G110" s="49"/>
      <c r="H110" s="49"/>
    </row>
    <row r="111" spans="2:8" ht="21.05" customHeight="1">
      <c r="B111" s="49"/>
      <c r="C111" s="49"/>
      <c r="D111" s="49"/>
      <c r="E111" s="49"/>
      <c r="F111" s="49"/>
      <c r="G111" s="49"/>
      <c r="H111" s="49"/>
    </row>
    <row r="112" spans="2:8" ht="21.05" customHeight="1">
      <c r="B112" s="49"/>
      <c r="C112" s="49"/>
      <c r="D112" s="49"/>
      <c r="E112" s="49"/>
      <c r="F112" s="49"/>
      <c r="G112" s="49"/>
      <c r="H112" s="49"/>
    </row>
    <row r="113" spans="2:8" ht="21.05" customHeight="1">
      <c r="B113" s="49"/>
      <c r="C113" s="49"/>
      <c r="D113" s="49"/>
      <c r="E113" s="49"/>
      <c r="F113" s="49"/>
      <c r="G113" s="49"/>
      <c r="H113" s="49"/>
    </row>
    <row r="114" spans="2:8" ht="21.05" customHeight="1">
      <c r="B114" s="49"/>
      <c r="C114" s="49"/>
      <c r="D114" s="49"/>
      <c r="E114" s="49"/>
      <c r="F114" s="49"/>
      <c r="G114" s="49"/>
      <c r="H114" s="49"/>
    </row>
    <row r="115" spans="2:8" ht="21.05" customHeight="1">
      <c r="B115" s="49"/>
      <c r="C115" s="49"/>
      <c r="D115" s="49"/>
      <c r="E115" s="49"/>
      <c r="F115" s="49"/>
      <c r="G115" s="49"/>
      <c r="H115" s="49"/>
    </row>
    <row r="116" spans="2:8" ht="21.05" customHeight="1">
      <c r="B116" s="49"/>
      <c r="C116" s="49"/>
      <c r="D116" s="49"/>
      <c r="E116" s="49"/>
      <c r="F116" s="49"/>
      <c r="G116" s="49"/>
      <c r="H116" s="49"/>
    </row>
    <row r="117" spans="2:8" ht="21.05" customHeight="1">
      <c r="B117" s="49"/>
      <c r="C117" s="49"/>
      <c r="D117" s="49"/>
      <c r="E117" s="49"/>
      <c r="F117" s="49"/>
      <c r="G117" s="49"/>
      <c r="H117" s="49"/>
    </row>
    <row r="118" spans="2:8" ht="21.05" customHeight="1">
      <c r="B118" s="49"/>
      <c r="C118" s="49"/>
      <c r="D118" s="49"/>
      <c r="E118" s="49"/>
      <c r="F118" s="49"/>
      <c r="G118" s="49"/>
      <c r="H118" s="49"/>
    </row>
    <row r="119" spans="2:8" ht="21.05" customHeight="1">
      <c r="B119" s="49"/>
      <c r="C119" s="49"/>
      <c r="D119" s="49"/>
      <c r="E119" s="49"/>
      <c r="F119" s="49"/>
      <c r="G119" s="49"/>
      <c r="H119" s="49"/>
    </row>
    <row r="120" spans="2:8" ht="21.05" customHeight="1">
      <c r="B120" s="49"/>
      <c r="C120" s="49"/>
      <c r="D120" s="49"/>
      <c r="E120" s="49"/>
      <c r="F120" s="49"/>
      <c r="G120" s="49"/>
      <c r="H120" s="49"/>
    </row>
    <row r="121" spans="2:8" ht="21.05" customHeight="1">
      <c r="B121" s="49"/>
      <c r="C121" s="49"/>
      <c r="D121" s="49"/>
      <c r="E121" s="49"/>
      <c r="F121" s="49"/>
      <c r="G121" s="49"/>
      <c r="H121" s="49"/>
    </row>
    <row r="122" spans="2:8" ht="21.05" customHeight="1">
      <c r="B122" s="49"/>
      <c r="C122" s="49"/>
      <c r="D122" s="49"/>
      <c r="E122" s="49"/>
      <c r="F122" s="49"/>
      <c r="G122" s="49"/>
      <c r="H122" s="49"/>
    </row>
    <row r="123" spans="2:8" ht="21.05" customHeight="1">
      <c r="B123" s="49"/>
      <c r="C123" s="49"/>
      <c r="D123" s="49"/>
      <c r="E123" s="49"/>
      <c r="F123" s="49"/>
      <c r="G123" s="49"/>
      <c r="H123" s="49"/>
    </row>
    <row r="124" spans="2:8" ht="21.05" customHeight="1">
      <c r="B124" s="49"/>
      <c r="C124" s="49"/>
      <c r="D124" s="49"/>
      <c r="E124" s="49"/>
      <c r="F124" s="49"/>
      <c r="G124" s="49"/>
      <c r="H124" s="49"/>
    </row>
    <row r="125" spans="2:8" ht="21.05" customHeight="1">
      <c r="B125" s="49"/>
      <c r="C125" s="49"/>
      <c r="D125" s="49"/>
      <c r="E125" s="49"/>
      <c r="F125" s="49"/>
      <c r="G125" s="49"/>
      <c r="H125" s="49"/>
    </row>
    <row r="126" spans="2:8" ht="21.05" customHeight="1">
      <c r="B126" s="49"/>
      <c r="C126" s="49"/>
      <c r="D126" s="49"/>
      <c r="E126" s="49"/>
      <c r="F126" s="49"/>
      <c r="G126" s="49"/>
      <c r="H126" s="49"/>
    </row>
    <row r="127" spans="2:8" ht="21.05" customHeight="1">
      <c r="B127" s="49"/>
      <c r="C127" s="49"/>
      <c r="D127" s="49"/>
      <c r="E127" s="49"/>
      <c r="F127" s="49"/>
      <c r="G127" s="49"/>
      <c r="H127" s="49"/>
    </row>
    <row r="128" spans="2:8" ht="21.05" customHeight="1">
      <c r="B128" s="49"/>
      <c r="C128" s="49"/>
      <c r="D128" s="49"/>
      <c r="E128" s="49"/>
      <c r="F128" s="49"/>
      <c r="G128" s="49"/>
      <c r="H128" s="49"/>
    </row>
    <row r="129" spans="2:8" ht="21.05" customHeight="1">
      <c r="B129" s="49"/>
      <c r="C129" s="49"/>
      <c r="D129" s="49"/>
      <c r="E129" s="49"/>
      <c r="F129" s="49"/>
      <c r="G129" s="49"/>
      <c r="H129" s="49"/>
    </row>
    <row r="130" spans="2:8" ht="21.05" customHeight="1">
      <c r="B130" s="49"/>
      <c r="C130" s="49"/>
      <c r="D130" s="49"/>
      <c r="E130" s="49"/>
      <c r="F130" s="49"/>
      <c r="G130" s="49"/>
      <c r="H130" s="49"/>
    </row>
    <row r="131" spans="2:8" ht="21.05" customHeight="1">
      <c r="B131" s="49"/>
      <c r="C131" s="49"/>
      <c r="D131" s="49"/>
      <c r="E131" s="49"/>
      <c r="F131" s="49"/>
      <c r="G131" s="49"/>
      <c r="H131" s="49"/>
    </row>
    <row r="132" spans="2:8" ht="21.05" customHeight="1">
      <c r="B132" s="49"/>
      <c r="C132" s="49"/>
      <c r="D132" s="49"/>
      <c r="E132" s="49"/>
      <c r="F132" s="49"/>
      <c r="G132" s="49"/>
      <c r="H132" s="49"/>
    </row>
    <row r="133" spans="2:8" ht="21.05" customHeight="1">
      <c r="B133" s="49"/>
      <c r="C133" s="49"/>
      <c r="D133" s="49"/>
      <c r="E133" s="49"/>
      <c r="F133" s="49"/>
      <c r="G133" s="49"/>
      <c r="H133" s="49"/>
    </row>
    <row r="134" spans="2:8" ht="21.05" customHeight="1">
      <c r="B134" s="49"/>
      <c r="C134" s="49"/>
      <c r="D134" s="49"/>
      <c r="E134" s="49"/>
      <c r="F134" s="49"/>
      <c r="G134" s="49"/>
      <c r="H134" s="49"/>
    </row>
    <row r="135" spans="2:8" ht="21.05" customHeight="1">
      <c r="B135" s="49"/>
      <c r="C135" s="49"/>
      <c r="D135" s="49"/>
      <c r="E135" s="49"/>
      <c r="F135" s="49"/>
      <c r="G135" s="49"/>
      <c r="H135" s="49"/>
    </row>
    <row r="136" spans="2:8" ht="21.05" customHeight="1">
      <c r="B136" s="49"/>
      <c r="C136" s="49"/>
      <c r="D136" s="49"/>
      <c r="E136" s="49"/>
      <c r="F136" s="49"/>
      <c r="G136" s="49"/>
      <c r="H136" s="49"/>
    </row>
    <row r="137" spans="2:8" ht="21.05" customHeight="1">
      <c r="B137" s="49"/>
      <c r="C137" s="49"/>
      <c r="D137" s="49"/>
      <c r="E137" s="49"/>
      <c r="F137" s="49"/>
      <c r="G137" s="49"/>
      <c r="H137" s="49"/>
    </row>
    <row r="138" spans="2:8" ht="21.05" customHeight="1">
      <c r="B138" s="49"/>
      <c r="C138" s="49"/>
      <c r="D138" s="49"/>
      <c r="E138" s="49"/>
      <c r="F138" s="49"/>
      <c r="G138" s="49"/>
      <c r="H138" s="49"/>
    </row>
    <row r="139" spans="2:8" ht="21.05" customHeight="1">
      <c r="B139" s="49"/>
      <c r="C139" s="49"/>
      <c r="D139" s="49"/>
      <c r="E139" s="49"/>
      <c r="F139" s="49"/>
      <c r="G139" s="49"/>
      <c r="H139" s="49"/>
    </row>
    <row r="140" spans="2:8" ht="21.05" customHeight="1">
      <c r="B140" s="49"/>
      <c r="C140" s="49"/>
      <c r="D140" s="49"/>
      <c r="E140" s="49"/>
      <c r="F140" s="49"/>
      <c r="G140" s="49"/>
      <c r="H140" s="49"/>
    </row>
    <row r="141" spans="2:8" ht="21.05" customHeight="1">
      <c r="B141" s="49"/>
      <c r="C141" s="49"/>
      <c r="D141" s="49"/>
      <c r="E141" s="49"/>
      <c r="F141" s="49"/>
      <c r="G141" s="49"/>
      <c r="H141" s="49"/>
    </row>
    <row r="142" spans="2:8" ht="21.05" customHeight="1">
      <c r="B142" s="49"/>
      <c r="C142" s="49"/>
      <c r="D142" s="49"/>
      <c r="E142" s="49"/>
      <c r="F142" s="49"/>
      <c r="G142" s="49"/>
      <c r="H142" s="49"/>
    </row>
    <row r="143" spans="2:8" ht="21.05" customHeight="1">
      <c r="B143" s="49"/>
      <c r="C143" s="49"/>
      <c r="D143" s="49"/>
      <c r="E143" s="49"/>
      <c r="F143" s="49"/>
      <c r="G143" s="49"/>
      <c r="H143" s="49"/>
    </row>
    <row r="144" spans="2:8" ht="21.05" customHeight="1">
      <c r="B144" s="49"/>
      <c r="C144" s="49"/>
      <c r="D144" s="49"/>
      <c r="E144" s="49"/>
      <c r="F144" s="49"/>
      <c r="G144" s="49"/>
      <c r="H144" s="49"/>
    </row>
    <row r="145" spans="2:8" ht="21.05" customHeight="1">
      <c r="B145" s="49"/>
      <c r="C145" s="49"/>
      <c r="D145" s="49"/>
      <c r="E145" s="49"/>
      <c r="F145" s="49"/>
      <c r="G145" s="49"/>
      <c r="H145" s="49"/>
    </row>
    <row r="146" spans="2:8" ht="21.05" customHeight="1">
      <c r="B146" s="49"/>
      <c r="C146" s="49"/>
      <c r="D146" s="49"/>
      <c r="E146" s="49"/>
      <c r="F146" s="49"/>
      <c r="G146" s="49"/>
      <c r="H146" s="49"/>
    </row>
    <row r="147" spans="2:8" ht="21.05" customHeight="1">
      <c r="B147" s="49"/>
      <c r="C147" s="49"/>
      <c r="D147" s="49"/>
      <c r="E147" s="49"/>
      <c r="F147" s="49"/>
      <c r="G147" s="49"/>
      <c r="H147" s="49"/>
    </row>
    <row r="148" spans="2:8" ht="21.05" customHeight="1">
      <c r="B148" s="49"/>
      <c r="C148" s="49"/>
      <c r="D148" s="49"/>
      <c r="E148" s="49"/>
      <c r="F148" s="49"/>
      <c r="G148" s="49"/>
      <c r="H148" s="49"/>
    </row>
    <row r="149" spans="2:8" ht="21.05" customHeight="1">
      <c r="B149" s="49"/>
      <c r="C149" s="49"/>
      <c r="D149" s="49"/>
      <c r="E149" s="49"/>
      <c r="F149" s="49"/>
      <c r="G149" s="49"/>
      <c r="H149" s="49"/>
    </row>
    <row r="150" spans="2:8" ht="21.05" customHeight="1">
      <c r="B150" s="49"/>
      <c r="C150" s="49"/>
      <c r="D150" s="49"/>
      <c r="E150" s="49"/>
      <c r="F150" s="49"/>
      <c r="G150" s="49"/>
      <c r="H150" s="49"/>
    </row>
    <row r="151" spans="2:8" ht="21.05" customHeight="1">
      <c r="B151" s="49"/>
      <c r="C151" s="49"/>
      <c r="D151" s="49"/>
      <c r="E151" s="49"/>
      <c r="F151" s="49"/>
      <c r="G151" s="49"/>
      <c r="H151" s="49"/>
    </row>
    <row r="152" spans="2:8" ht="21.05" customHeight="1">
      <c r="B152" s="49"/>
      <c r="C152" s="49"/>
      <c r="D152" s="49"/>
      <c r="E152" s="49"/>
      <c r="F152" s="49"/>
      <c r="G152" s="49"/>
      <c r="H152" s="49"/>
    </row>
    <row r="153" spans="2:8" ht="21.05" customHeight="1">
      <c r="B153" s="49"/>
      <c r="C153" s="49"/>
      <c r="D153" s="49"/>
      <c r="E153" s="49"/>
      <c r="F153" s="49"/>
      <c r="G153" s="49"/>
      <c r="H153" s="49"/>
    </row>
    <row r="154" spans="2:8" ht="21.05" customHeight="1">
      <c r="B154" s="49"/>
      <c r="C154" s="49"/>
      <c r="D154" s="49"/>
      <c r="E154" s="49"/>
      <c r="F154" s="49"/>
      <c r="G154" s="49"/>
      <c r="H154" s="49"/>
    </row>
    <row r="155" spans="2:8" ht="21.05" customHeight="1">
      <c r="B155" s="49"/>
      <c r="C155" s="49"/>
      <c r="D155" s="49"/>
      <c r="E155" s="49"/>
      <c r="F155" s="49"/>
      <c r="G155" s="49"/>
      <c r="H155" s="49"/>
    </row>
    <row r="156" spans="2:8" ht="21.05" customHeight="1">
      <c r="B156" s="49"/>
      <c r="C156" s="49"/>
      <c r="D156" s="49"/>
      <c r="E156" s="49"/>
      <c r="F156" s="49"/>
      <c r="G156" s="49"/>
      <c r="H156" s="49"/>
    </row>
    <row r="157" spans="2:8" ht="21.05" customHeight="1">
      <c r="B157" s="49"/>
      <c r="C157" s="49"/>
      <c r="D157" s="49"/>
      <c r="E157" s="49"/>
      <c r="F157" s="49"/>
      <c r="G157" s="49"/>
      <c r="H157" s="49"/>
    </row>
    <row r="158" spans="2:8" ht="21.05" customHeight="1">
      <c r="B158" s="49"/>
      <c r="C158" s="49"/>
      <c r="D158" s="49"/>
      <c r="E158" s="49"/>
      <c r="F158" s="49"/>
      <c r="G158" s="49"/>
      <c r="H158" s="49"/>
    </row>
    <row r="159" spans="2:8" ht="21.05" customHeight="1">
      <c r="B159" s="49"/>
      <c r="C159" s="49"/>
      <c r="D159" s="49"/>
      <c r="E159" s="49"/>
      <c r="F159" s="49"/>
      <c r="G159" s="49"/>
      <c r="H159" s="49"/>
    </row>
    <row r="160" spans="2:8" ht="21.05" customHeight="1">
      <c r="B160" s="49"/>
      <c r="C160" s="49"/>
      <c r="D160" s="49"/>
      <c r="E160" s="49"/>
      <c r="F160" s="49"/>
      <c r="G160" s="49"/>
      <c r="H160" s="49"/>
    </row>
    <row r="161" spans="2:8" ht="21.05" customHeight="1">
      <c r="B161" s="49"/>
      <c r="C161" s="49"/>
      <c r="D161" s="49"/>
      <c r="E161" s="49"/>
      <c r="F161" s="49"/>
      <c r="G161" s="49"/>
      <c r="H161" s="49"/>
    </row>
    <row r="162" spans="2:8" ht="21.05" customHeight="1">
      <c r="B162" s="49"/>
      <c r="C162" s="49"/>
      <c r="D162" s="49"/>
      <c r="E162" s="49"/>
      <c r="F162" s="49"/>
      <c r="G162" s="49"/>
      <c r="H162" s="49"/>
    </row>
    <row r="163" spans="2:8" ht="21.05" customHeight="1">
      <c r="B163" s="49"/>
      <c r="C163" s="49"/>
      <c r="D163" s="49"/>
      <c r="E163" s="49"/>
      <c r="F163" s="49"/>
      <c r="G163" s="49"/>
      <c r="H163" s="49"/>
    </row>
    <row r="164" spans="2:8" ht="21.05" customHeight="1">
      <c r="B164" s="49"/>
      <c r="C164" s="49"/>
      <c r="D164" s="49"/>
      <c r="E164" s="49"/>
      <c r="F164" s="49"/>
      <c r="G164" s="49"/>
      <c r="H164" s="49"/>
    </row>
    <row r="165" spans="2:8" ht="21.05" customHeight="1">
      <c r="B165" s="49"/>
      <c r="C165" s="49"/>
      <c r="D165" s="49"/>
      <c r="E165" s="49"/>
      <c r="F165" s="49"/>
      <c r="G165" s="49"/>
      <c r="H165" s="49"/>
    </row>
    <row r="166" spans="2:8" ht="21.05" customHeight="1">
      <c r="B166" s="49"/>
      <c r="C166" s="49"/>
      <c r="D166" s="49"/>
      <c r="E166" s="49"/>
      <c r="F166" s="49"/>
      <c r="G166" s="49"/>
      <c r="H166" s="49"/>
    </row>
    <row r="167" spans="2:8" ht="21.05" customHeight="1">
      <c r="B167" s="49"/>
      <c r="C167" s="49"/>
      <c r="D167" s="49"/>
      <c r="E167" s="49"/>
      <c r="F167" s="49"/>
      <c r="G167" s="49"/>
      <c r="H167" s="49"/>
    </row>
    <row r="168" spans="2:8" ht="21.05" customHeight="1">
      <c r="B168" s="49"/>
      <c r="C168" s="49"/>
      <c r="D168" s="49"/>
      <c r="E168" s="49"/>
      <c r="F168" s="49"/>
      <c r="G168" s="49"/>
      <c r="H168" s="49"/>
    </row>
    <row r="169" spans="2:8" ht="21.05" customHeight="1">
      <c r="B169" s="49"/>
      <c r="C169" s="49"/>
      <c r="D169" s="49"/>
      <c r="E169" s="49"/>
      <c r="F169" s="49"/>
      <c r="G169" s="49"/>
      <c r="H169" s="49"/>
    </row>
    <row r="170" spans="2:8" ht="21.05" customHeight="1">
      <c r="B170" s="49"/>
      <c r="C170" s="49"/>
      <c r="D170" s="49"/>
      <c r="E170" s="49"/>
      <c r="F170" s="49"/>
      <c r="G170" s="49"/>
      <c r="H170" s="49"/>
    </row>
    <row r="171" spans="2:8" ht="21.05" customHeight="1">
      <c r="B171" s="49"/>
      <c r="C171" s="49"/>
      <c r="D171" s="49"/>
      <c r="E171" s="49"/>
      <c r="F171" s="49"/>
      <c r="G171" s="49"/>
      <c r="H171" s="49"/>
    </row>
    <row r="172" spans="2:8" ht="21.05" customHeight="1">
      <c r="B172" s="49"/>
      <c r="C172" s="49"/>
      <c r="D172" s="49"/>
      <c r="E172" s="49"/>
      <c r="F172" s="49"/>
      <c r="G172" s="49"/>
      <c r="H172" s="49"/>
    </row>
    <row r="173" spans="2:8" ht="21.05" customHeight="1">
      <c r="B173" s="49"/>
      <c r="C173" s="49"/>
      <c r="D173" s="49"/>
      <c r="E173" s="49"/>
      <c r="F173" s="49"/>
      <c r="G173" s="49"/>
      <c r="H173" s="49"/>
    </row>
    <row r="174" spans="2:8" ht="21.05" customHeight="1">
      <c r="B174" s="49"/>
      <c r="C174" s="49"/>
      <c r="D174" s="49"/>
      <c r="E174" s="49"/>
      <c r="F174" s="49"/>
      <c r="G174" s="49"/>
      <c r="H174" s="49"/>
    </row>
    <row r="175" spans="2:8" ht="21.05" customHeight="1">
      <c r="B175" s="49"/>
      <c r="C175" s="49"/>
      <c r="D175" s="49"/>
      <c r="E175" s="49"/>
      <c r="F175" s="49"/>
      <c r="G175" s="49"/>
      <c r="H175" s="49"/>
    </row>
    <row r="176" spans="2:8" ht="21.05" customHeight="1">
      <c r="B176" s="49"/>
      <c r="C176" s="49"/>
      <c r="D176" s="49"/>
      <c r="E176" s="49"/>
      <c r="F176" s="49"/>
      <c r="G176" s="49"/>
      <c r="H176" s="49"/>
    </row>
    <row r="177" spans="2:8" ht="21.05" customHeight="1">
      <c r="B177" s="49"/>
      <c r="C177" s="49"/>
      <c r="D177" s="49"/>
      <c r="E177" s="49"/>
      <c r="F177" s="49"/>
      <c r="G177" s="49"/>
      <c r="H177" s="49"/>
    </row>
    <row r="178" spans="2:8" ht="21.05" customHeight="1">
      <c r="B178" s="49"/>
      <c r="C178" s="49"/>
      <c r="D178" s="49"/>
      <c r="E178" s="49"/>
      <c r="F178" s="49"/>
      <c r="G178" s="49"/>
      <c r="H178" s="49"/>
    </row>
    <row r="179" spans="2:8" ht="21.05" customHeight="1">
      <c r="B179" s="49"/>
      <c r="C179" s="49"/>
      <c r="D179" s="49"/>
      <c r="E179" s="49"/>
      <c r="F179" s="49"/>
      <c r="G179" s="49"/>
      <c r="H179" s="49"/>
    </row>
    <row r="180" spans="2:8" ht="21.05" customHeight="1">
      <c r="B180" s="49"/>
      <c r="C180" s="49"/>
      <c r="D180" s="49"/>
      <c r="E180" s="49"/>
      <c r="F180" s="49"/>
      <c r="G180" s="49"/>
      <c r="H180" s="49"/>
    </row>
    <row r="181" spans="2:8" ht="21.05" customHeight="1">
      <c r="B181" s="49"/>
      <c r="C181" s="49"/>
      <c r="D181" s="49"/>
      <c r="E181" s="49"/>
      <c r="F181" s="49"/>
      <c r="G181" s="49"/>
      <c r="H181" s="49"/>
    </row>
    <row r="182" spans="2:8" ht="21.05" customHeight="1">
      <c r="B182" s="49"/>
      <c r="C182" s="49"/>
      <c r="D182" s="49"/>
      <c r="E182" s="49"/>
      <c r="F182" s="49"/>
      <c r="G182" s="49"/>
      <c r="H182" s="49"/>
    </row>
    <row r="183" spans="2:8" ht="21.05" customHeight="1">
      <c r="B183" s="49"/>
      <c r="C183" s="49"/>
      <c r="D183" s="49"/>
      <c r="E183" s="49"/>
      <c r="F183" s="49"/>
      <c r="G183" s="49"/>
      <c r="H183" s="49"/>
    </row>
    <row r="184" spans="2:8" ht="21.05" customHeight="1">
      <c r="B184" s="49"/>
      <c r="C184" s="49"/>
      <c r="D184" s="49"/>
      <c r="E184" s="49"/>
      <c r="F184" s="49"/>
      <c r="G184" s="49"/>
      <c r="H184" s="49"/>
    </row>
    <row r="185" spans="2:8" ht="21.05" customHeight="1">
      <c r="B185" s="49"/>
      <c r="C185" s="49"/>
      <c r="D185" s="49"/>
      <c r="E185" s="49"/>
      <c r="F185" s="49"/>
      <c r="G185" s="49"/>
      <c r="H185" s="49"/>
    </row>
    <row r="186" spans="2:8" ht="21.05" customHeight="1">
      <c r="B186" s="49"/>
      <c r="C186" s="49"/>
      <c r="D186" s="49"/>
      <c r="E186" s="49"/>
      <c r="F186" s="49"/>
      <c r="G186" s="49"/>
      <c r="H186" s="49"/>
    </row>
    <row r="187" spans="2:8" ht="21.05" customHeight="1">
      <c r="B187" s="49"/>
      <c r="C187" s="49"/>
      <c r="D187" s="49"/>
      <c r="E187" s="49"/>
      <c r="F187" s="49"/>
      <c r="G187" s="49"/>
      <c r="H187" s="49"/>
    </row>
    <row r="188" spans="2:8" ht="21.05" customHeight="1">
      <c r="B188" s="49"/>
      <c r="C188" s="49"/>
      <c r="D188" s="49"/>
      <c r="E188" s="49"/>
      <c r="F188" s="49"/>
      <c r="G188" s="49"/>
      <c r="H188" s="49"/>
    </row>
    <row r="189" spans="2:8" ht="21.05" customHeight="1">
      <c r="B189" s="49"/>
      <c r="C189" s="49"/>
      <c r="D189" s="49"/>
      <c r="E189" s="49"/>
      <c r="F189" s="49"/>
      <c r="G189" s="49"/>
      <c r="H189" s="49"/>
    </row>
    <row r="190" spans="2:8" ht="21.05" customHeight="1">
      <c r="B190" s="49"/>
      <c r="C190" s="49"/>
      <c r="D190" s="49"/>
      <c r="E190" s="49"/>
      <c r="F190" s="49"/>
      <c r="G190" s="49"/>
      <c r="H190" s="49"/>
    </row>
    <row r="191" spans="2:8" ht="21.05" customHeight="1">
      <c r="B191" s="49"/>
      <c r="C191" s="49"/>
      <c r="D191" s="49"/>
      <c r="E191" s="49"/>
      <c r="F191" s="49"/>
      <c r="G191" s="49"/>
      <c r="H191" s="49"/>
    </row>
    <row r="192" spans="2:8" ht="21.05" customHeight="1">
      <c r="B192" s="49"/>
      <c r="C192" s="49"/>
      <c r="D192" s="49"/>
      <c r="E192" s="49"/>
      <c r="F192" s="49"/>
      <c r="G192" s="49"/>
      <c r="H192" s="49"/>
    </row>
    <row r="193" spans="2:8" ht="21.05" customHeight="1">
      <c r="B193" s="49"/>
      <c r="C193" s="49"/>
      <c r="D193" s="49"/>
      <c r="E193" s="49"/>
      <c r="F193" s="49"/>
      <c r="G193" s="49"/>
      <c r="H193" s="49"/>
    </row>
    <row r="194" spans="2:8" ht="21.05" customHeight="1">
      <c r="B194" s="49"/>
      <c r="C194" s="49"/>
      <c r="D194" s="49"/>
      <c r="E194" s="49"/>
      <c r="F194" s="49"/>
      <c r="G194" s="49"/>
      <c r="H194" s="49"/>
    </row>
    <row r="195" spans="2:8" ht="21.05" customHeight="1">
      <c r="B195" s="49"/>
      <c r="C195" s="49"/>
      <c r="D195" s="49"/>
      <c r="E195" s="49"/>
      <c r="F195" s="49"/>
      <c r="G195" s="49"/>
      <c r="H195" s="49"/>
    </row>
    <row r="196" spans="2:8" ht="21.05" customHeight="1">
      <c r="B196" s="49"/>
      <c r="C196" s="49"/>
      <c r="D196" s="49"/>
      <c r="E196" s="49"/>
      <c r="F196" s="49"/>
      <c r="G196" s="49"/>
      <c r="H196" s="49"/>
    </row>
    <row r="197" spans="2:8" ht="21.05" customHeight="1">
      <c r="B197" s="49"/>
      <c r="C197" s="49"/>
      <c r="D197" s="49"/>
      <c r="E197" s="49"/>
      <c r="F197" s="49"/>
      <c r="G197" s="49"/>
      <c r="H197" s="49"/>
    </row>
    <row r="198" spans="2:8" ht="21.05" customHeight="1">
      <c r="B198" s="49"/>
      <c r="C198" s="49"/>
      <c r="D198" s="49"/>
      <c r="E198" s="49"/>
      <c r="F198" s="49"/>
      <c r="G198" s="49"/>
      <c r="H198" s="49"/>
    </row>
    <row r="199" spans="2:8" ht="21.05" customHeight="1">
      <c r="B199" s="49"/>
      <c r="C199" s="49"/>
      <c r="D199" s="49"/>
      <c r="E199" s="49"/>
      <c r="F199" s="49"/>
      <c r="G199" s="49"/>
      <c r="H199" s="49"/>
    </row>
    <row r="200" spans="2:8" ht="21.05" customHeight="1">
      <c r="B200" s="49"/>
      <c r="C200" s="49"/>
      <c r="D200" s="49"/>
      <c r="E200" s="49"/>
      <c r="F200" s="49"/>
      <c r="G200" s="49"/>
      <c r="H200" s="49"/>
    </row>
    <row r="201" spans="2:8" ht="21.05" customHeight="1">
      <c r="B201" s="49"/>
      <c r="C201" s="49"/>
      <c r="D201" s="49"/>
      <c r="E201" s="49"/>
      <c r="F201" s="49"/>
      <c r="G201" s="49"/>
      <c r="H201" s="49"/>
    </row>
    <row r="202" spans="2:8" ht="21.05" customHeight="1">
      <c r="B202" s="49"/>
      <c r="C202" s="49"/>
      <c r="D202" s="49"/>
      <c r="E202" s="49"/>
      <c r="F202" s="49"/>
      <c r="G202" s="49"/>
      <c r="H202" s="49"/>
    </row>
    <row r="203" spans="2:8" ht="21.05" customHeight="1">
      <c r="B203" s="49"/>
      <c r="C203" s="49"/>
      <c r="D203" s="49"/>
      <c r="E203" s="49"/>
      <c r="F203" s="49"/>
      <c r="G203" s="49"/>
      <c r="H203" s="49"/>
    </row>
    <row r="204" spans="2:8" ht="21.05" customHeight="1">
      <c r="B204" s="49"/>
      <c r="C204" s="49"/>
      <c r="D204" s="49"/>
      <c r="E204" s="49"/>
      <c r="F204" s="49"/>
      <c r="G204" s="49"/>
      <c r="H204" s="49"/>
    </row>
    <row r="205" spans="2:8" ht="21.05" customHeight="1">
      <c r="B205" s="49"/>
      <c r="C205" s="49"/>
      <c r="D205" s="49"/>
      <c r="E205" s="49"/>
      <c r="F205" s="49"/>
      <c r="G205" s="49"/>
      <c r="H205" s="49"/>
    </row>
    <row r="206" spans="2:8" ht="21.05" customHeight="1">
      <c r="B206" s="49"/>
      <c r="C206" s="49"/>
      <c r="D206" s="49"/>
      <c r="E206" s="49"/>
      <c r="F206" s="49"/>
      <c r="G206" s="49"/>
      <c r="H206" s="49"/>
    </row>
    <row r="207" spans="2:8" ht="21.05" customHeight="1">
      <c r="B207" s="49"/>
      <c r="C207" s="49"/>
      <c r="D207" s="49"/>
      <c r="E207" s="49"/>
      <c r="F207" s="49"/>
      <c r="G207" s="49"/>
      <c r="H207" s="49"/>
    </row>
    <row r="208" spans="2:8" ht="21.05" customHeight="1">
      <c r="B208" s="49"/>
      <c r="C208" s="49"/>
      <c r="D208" s="49"/>
      <c r="E208" s="49"/>
      <c r="F208" s="49"/>
      <c r="G208" s="49"/>
      <c r="H208" s="49"/>
    </row>
    <row r="209" spans="2:8" ht="21.05" customHeight="1">
      <c r="B209" s="49"/>
      <c r="C209" s="49"/>
      <c r="D209" s="49"/>
      <c r="E209" s="49"/>
      <c r="F209" s="49"/>
      <c r="G209" s="49"/>
      <c r="H209" s="49"/>
    </row>
    <row r="210" spans="2:8" ht="21.05" customHeight="1">
      <c r="B210" s="49"/>
      <c r="C210" s="49"/>
      <c r="D210" s="49"/>
      <c r="E210" s="49"/>
      <c r="F210" s="49"/>
      <c r="G210" s="49"/>
      <c r="H210" s="49"/>
    </row>
    <row r="211" spans="2:8" ht="21.05" customHeight="1">
      <c r="B211" s="49"/>
      <c r="C211" s="49"/>
      <c r="D211" s="49"/>
      <c r="E211" s="49"/>
      <c r="F211" s="49"/>
      <c r="G211" s="49"/>
      <c r="H211" s="49"/>
    </row>
    <row r="212" spans="2:8" ht="21.05" customHeight="1">
      <c r="B212" s="49"/>
      <c r="C212" s="49"/>
      <c r="D212" s="49"/>
      <c r="E212" s="49"/>
      <c r="F212" s="49"/>
      <c r="G212" s="49"/>
      <c r="H212" s="49"/>
    </row>
    <row r="213" spans="2:8" ht="21.05" customHeight="1">
      <c r="B213" s="49"/>
      <c r="C213" s="49"/>
      <c r="D213" s="49"/>
      <c r="E213" s="49"/>
      <c r="F213" s="49"/>
      <c r="G213" s="49"/>
      <c r="H213" s="49"/>
    </row>
    <row r="214" spans="2:8" ht="21.05" customHeight="1">
      <c r="B214" s="49"/>
      <c r="C214" s="49"/>
      <c r="D214" s="49"/>
      <c r="E214" s="49"/>
      <c r="F214" s="49"/>
      <c r="G214" s="49"/>
      <c r="H214" s="49"/>
    </row>
    <row r="215" spans="2:8" ht="21.05" customHeight="1">
      <c r="B215" s="49"/>
      <c r="C215" s="49"/>
      <c r="D215" s="49"/>
      <c r="E215" s="49"/>
      <c r="F215" s="49"/>
      <c r="G215" s="49"/>
      <c r="H215" s="49"/>
    </row>
    <row r="216" spans="2:8" ht="21.05" customHeight="1">
      <c r="B216" s="49"/>
      <c r="C216" s="49"/>
      <c r="D216" s="49"/>
      <c r="E216" s="49"/>
      <c r="F216" s="49"/>
      <c r="G216" s="49"/>
      <c r="H216" s="49"/>
    </row>
    <row r="217" spans="2:8" ht="21.05" customHeight="1">
      <c r="B217" s="49"/>
      <c r="C217" s="49"/>
      <c r="D217" s="49"/>
      <c r="E217" s="49"/>
      <c r="F217" s="49"/>
      <c r="G217" s="49"/>
      <c r="H217" s="49"/>
    </row>
    <row r="218" spans="2:8" ht="21.05" customHeight="1">
      <c r="B218" s="49"/>
      <c r="C218" s="49"/>
      <c r="D218" s="49"/>
      <c r="E218" s="49"/>
      <c r="F218" s="49"/>
      <c r="G218" s="49"/>
      <c r="H218" s="49"/>
    </row>
    <row r="219" spans="2:8" ht="21.05" customHeight="1">
      <c r="B219" s="49"/>
      <c r="C219" s="49"/>
      <c r="D219" s="49"/>
      <c r="E219" s="49"/>
      <c r="F219" s="49"/>
      <c r="G219" s="49"/>
      <c r="H219" s="49"/>
    </row>
    <row r="220" spans="2:8" ht="21.05" customHeight="1">
      <c r="B220" s="49"/>
      <c r="C220" s="49"/>
      <c r="D220" s="49"/>
      <c r="E220" s="49"/>
      <c r="F220" s="49"/>
      <c r="G220" s="49"/>
      <c r="H220" s="49"/>
    </row>
    <row r="221" spans="2:8" ht="21.05" customHeight="1">
      <c r="B221" s="49"/>
      <c r="C221" s="49"/>
      <c r="D221" s="49"/>
      <c r="E221" s="49"/>
      <c r="F221" s="49"/>
      <c r="G221" s="49"/>
      <c r="H221" s="49"/>
    </row>
    <row r="222" spans="2:8" ht="21.05" customHeight="1">
      <c r="B222" s="49"/>
      <c r="C222" s="49"/>
      <c r="D222" s="49"/>
      <c r="E222" s="49"/>
      <c r="F222" s="49"/>
      <c r="G222" s="49"/>
      <c r="H222" s="49"/>
    </row>
    <row r="223" spans="2:8" ht="21.05" customHeight="1">
      <c r="B223" s="49"/>
      <c r="C223" s="49"/>
      <c r="D223" s="49"/>
      <c r="E223" s="49"/>
      <c r="F223" s="49"/>
      <c r="G223" s="49"/>
      <c r="H223" s="49"/>
    </row>
    <row r="224" spans="2:8" ht="21.05" customHeight="1">
      <c r="B224" s="49"/>
      <c r="C224" s="49"/>
      <c r="D224" s="49"/>
      <c r="E224" s="49"/>
      <c r="F224" s="49"/>
      <c r="G224" s="49"/>
      <c r="H224" s="49"/>
    </row>
    <row r="225" spans="2:8" ht="21.05" customHeight="1">
      <c r="B225" s="49"/>
      <c r="C225" s="49"/>
      <c r="D225" s="49"/>
      <c r="E225" s="49"/>
      <c r="F225" s="49"/>
      <c r="G225" s="49"/>
      <c r="H225" s="49"/>
    </row>
    <row r="226" spans="2:8" ht="21.05" customHeight="1">
      <c r="B226" s="49"/>
      <c r="C226" s="49"/>
      <c r="D226" s="49"/>
      <c r="E226" s="49"/>
      <c r="F226" s="49"/>
      <c r="G226" s="49"/>
      <c r="H226" s="49"/>
    </row>
    <row r="227" spans="2:8" ht="21.05" customHeight="1">
      <c r="B227" s="49"/>
      <c r="C227" s="49"/>
      <c r="D227" s="49"/>
      <c r="E227" s="49"/>
      <c r="F227" s="49"/>
      <c r="G227" s="49"/>
      <c r="H227" s="49"/>
    </row>
    <row r="228" spans="2:8" ht="21.05" customHeight="1">
      <c r="B228" s="49"/>
      <c r="C228" s="49"/>
      <c r="D228" s="49"/>
      <c r="E228" s="49"/>
      <c r="F228" s="49"/>
      <c r="G228" s="49"/>
      <c r="H228" s="49"/>
    </row>
    <row r="229" spans="2:8" ht="21.05" customHeight="1">
      <c r="B229" s="49"/>
      <c r="C229" s="49"/>
      <c r="D229" s="49"/>
      <c r="E229" s="49"/>
      <c r="F229" s="49"/>
      <c r="G229" s="49"/>
      <c r="H229" s="49"/>
    </row>
    <row r="230" spans="2:8" ht="21.05" customHeight="1">
      <c r="B230" s="49"/>
      <c r="C230" s="49"/>
      <c r="D230" s="49"/>
      <c r="E230" s="49"/>
      <c r="F230" s="49"/>
      <c r="G230" s="49"/>
      <c r="H230" s="49"/>
    </row>
    <row r="231" spans="2:8" ht="21.05" customHeight="1">
      <c r="B231" s="49"/>
      <c r="C231" s="49"/>
      <c r="D231" s="49"/>
      <c r="E231" s="49"/>
      <c r="F231" s="49"/>
      <c r="G231" s="49"/>
      <c r="H231" s="49"/>
    </row>
    <row r="232" spans="2:8" ht="21.05" customHeight="1">
      <c r="B232" s="49"/>
      <c r="C232" s="49"/>
      <c r="D232" s="49"/>
      <c r="E232" s="49"/>
      <c r="F232" s="49"/>
      <c r="G232" s="49"/>
      <c r="H232" s="49"/>
    </row>
    <row r="233" spans="2:8" ht="21.05" customHeight="1">
      <c r="B233" s="49"/>
      <c r="C233" s="49"/>
      <c r="D233" s="49"/>
      <c r="E233" s="49"/>
      <c r="F233" s="49"/>
      <c r="G233" s="49"/>
      <c r="H233" s="49"/>
    </row>
    <row r="234" spans="2:8" ht="21.05" customHeight="1">
      <c r="B234" s="49"/>
      <c r="C234" s="49"/>
      <c r="D234" s="49"/>
      <c r="E234" s="49"/>
      <c r="F234" s="49"/>
      <c r="G234" s="49"/>
      <c r="H234" s="49"/>
    </row>
    <row r="235" spans="2:8" ht="21.05" customHeight="1">
      <c r="B235" s="49"/>
      <c r="C235" s="49"/>
      <c r="D235" s="49"/>
      <c r="E235" s="49"/>
      <c r="F235" s="49"/>
      <c r="G235" s="49"/>
      <c r="H235" s="49"/>
    </row>
    <row r="236" spans="2:8" ht="21.05" customHeight="1">
      <c r="B236" s="49"/>
      <c r="C236" s="49"/>
      <c r="D236" s="49"/>
      <c r="E236" s="49"/>
      <c r="F236" s="49"/>
      <c r="G236" s="49"/>
      <c r="H236" s="49"/>
    </row>
    <row r="237" spans="2:8" ht="21.05" customHeight="1">
      <c r="B237" s="49"/>
      <c r="C237" s="49"/>
      <c r="D237" s="49"/>
      <c r="E237" s="49"/>
      <c r="F237" s="49"/>
      <c r="G237" s="49"/>
      <c r="H237" s="49"/>
    </row>
    <row r="238" spans="2:8" ht="21.05" customHeight="1">
      <c r="B238" s="49"/>
      <c r="C238" s="49"/>
      <c r="D238" s="49"/>
      <c r="E238" s="49"/>
      <c r="F238" s="49"/>
      <c r="G238" s="49"/>
      <c r="H238" s="49"/>
    </row>
    <row r="239" spans="2:8" ht="21.05" customHeight="1">
      <c r="B239" s="49"/>
      <c r="C239" s="49"/>
      <c r="D239" s="49"/>
      <c r="E239" s="49"/>
      <c r="F239" s="49"/>
      <c r="G239" s="49"/>
      <c r="H239" s="49"/>
    </row>
    <row r="240" spans="2:8" ht="21.05" customHeight="1">
      <c r="B240" s="49"/>
      <c r="C240" s="49"/>
      <c r="D240" s="49"/>
      <c r="E240" s="49"/>
      <c r="F240" s="49"/>
      <c r="G240" s="49"/>
      <c r="H240" s="49"/>
    </row>
    <row r="241" spans="2:8" ht="21.05" customHeight="1">
      <c r="B241" s="49"/>
      <c r="C241" s="49"/>
      <c r="D241" s="49"/>
      <c r="E241" s="49"/>
      <c r="F241" s="49"/>
      <c r="G241" s="49"/>
      <c r="H241" s="49"/>
    </row>
    <row r="242" spans="2:8" ht="21.05" customHeight="1">
      <c r="B242" s="49"/>
      <c r="C242" s="49"/>
      <c r="D242" s="49"/>
      <c r="E242" s="49"/>
      <c r="F242" s="49"/>
      <c r="G242" s="49"/>
      <c r="H242" s="49"/>
    </row>
    <row r="243" spans="2:8" ht="21.05" customHeight="1">
      <c r="B243" s="49"/>
      <c r="C243" s="49"/>
      <c r="D243" s="49"/>
      <c r="E243" s="49"/>
      <c r="F243" s="49"/>
      <c r="G243" s="49"/>
      <c r="H243" s="49"/>
    </row>
    <row r="244" spans="2:8" ht="21.05" customHeight="1">
      <c r="B244" s="49"/>
      <c r="C244" s="49"/>
      <c r="D244" s="49"/>
      <c r="E244" s="49"/>
      <c r="F244" s="49"/>
      <c r="G244" s="49"/>
      <c r="H244" s="49"/>
    </row>
    <row r="245" spans="2:8" ht="21.05" customHeight="1">
      <c r="B245" s="49"/>
      <c r="C245" s="49"/>
      <c r="D245" s="49"/>
      <c r="E245" s="49"/>
      <c r="F245" s="49"/>
      <c r="G245" s="49"/>
      <c r="H245" s="49"/>
    </row>
    <row r="246" spans="2:8" ht="21.05" customHeight="1">
      <c r="B246" s="49"/>
      <c r="C246" s="49"/>
      <c r="D246" s="49"/>
      <c r="E246" s="49"/>
      <c r="F246" s="49"/>
      <c r="G246" s="49"/>
      <c r="H246" s="49"/>
    </row>
    <row r="247" spans="2:8" ht="21.05" customHeight="1">
      <c r="B247" s="49"/>
      <c r="C247" s="49"/>
      <c r="D247" s="49"/>
      <c r="E247" s="49"/>
      <c r="F247" s="49"/>
      <c r="G247" s="49"/>
      <c r="H247" s="49"/>
    </row>
    <row r="248" spans="2:8" ht="21.05" customHeight="1">
      <c r="B248" s="49"/>
      <c r="C248" s="49"/>
      <c r="D248" s="49"/>
      <c r="E248" s="49"/>
      <c r="F248" s="49"/>
      <c r="G248" s="49"/>
      <c r="H248" s="49"/>
    </row>
    <row r="249" spans="2:8" ht="21.05" customHeight="1">
      <c r="B249" s="49"/>
      <c r="C249" s="49"/>
      <c r="D249" s="49"/>
      <c r="E249" s="49"/>
      <c r="F249" s="49"/>
      <c r="G249" s="49"/>
      <c r="H249" s="49"/>
    </row>
    <row r="250" spans="2:8" ht="21.05" customHeight="1">
      <c r="B250" s="49"/>
      <c r="C250" s="49"/>
      <c r="D250" s="49"/>
      <c r="E250" s="49"/>
      <c r="F250" s="49"/>
      <c r="G250" s="49"/>
      <c r="H250" s="49"/>
    </row>
    <row r="251" spans="2:8" ht="21.05" customHeight="1">
      <c r="B251" s="49"/>
      <c r="C251" s="49"/>
      <c r="D251" s="49"/>
      <c r="E251" s="49"/>
      <c r="F251" s="49"/>
      <c r="G251" s="49"/>
      <c r="H251" s="49"/>
    </row>
    <row r="252" spans="2:8" ht="21.05" customHeight="1">
      <c r="B252" s="49"/>
      <c r="C252" s="49"/>
      <c r="D252" s="49"/>
      <c r="E252" s="49"/>
      <c r="F252" s="49"/>
      <c r="G252" s="49"/>
      <c r="H252" s="49"/>
    </row>
    <row r="253" spans="2:8" ht="21.05" customHeight="1">
      <c r="B253" s="49"/>
      <c r="C253" s="49"/>
      <c r="D253" s="49"/>
      <c r="E253" s="49"/>
      <c r="F253" s="49"/>
      <c r="G253" s="49"/>
      <c r="H253" s="49"/>
    </row>
    <row r="254" spans="2:8" ht="21.05" customHeight="1">
      <c r="B254" s="49"/>
      <c r="C254" s="49"/>
      <c r="D254" s="49"/>
      <c r="E254" s="49"/>
      <c r="F254" s="49"/>
      <c r="G254" s="49"/>
      <c r="H254" s="49"/>
    </row>
    <row r="255" spans="2:8" ht="21.05" customHeight="1">
      <c r="B255" s="49"/>
      <c r="C255" s="49"/>
      <c r="D255" s="49"/>
      <c r="E255" s="49"/>
      <c r="F255" s="49"/>
      <c r="G255" s="49"/>
      <c r="H255" s="49"/>
    </row>
    <row r="256" spans="2:8" ht="21.05" customHeight="1">
      <c r="B256" s="49"/>
      <c r="C256" s="49"/>
      <c r="D256" s="49"/>
      <c r="E256" s="49"/>
      <c r="F256" s="49"/>
      <c r="G256" s="49"/>
      <c r="H256" s="49"/>
    </row>
    <row r="257" spans="2:8" ht="21.05" customHeight="1">
      <c r="B257" s="49"/>
      <c r="C257" s="49"/>
      <c r="D257" s="49"/>
      <c r="E257" s="49"/>
      <c r="F257" s="49"/>
      <c r="G257" s="49"/>
      <c r="H257" s="49"/>
    </row>
    <row r="258" spans="2:8" ht="21.05" customHeight="1">
      <c r="B258" s="49"/>
      <c r="C258" s="49"/>
      <c r="D258" s="49"/>
      <c r="E258" s="49"/>
      <c r="F258" s="49"/>
      <c r="G258" s="49"/>
      <c r="H258" s="49"/>
    </row>
    <row r="259" spans="2:8" ht="21.05" customHeight="1">
      <c r="B259" s="49"/>
      <c r="C259" s="49"/>
      <c r="D259" s="49"/>
      <c r="E259" s="49"/>
      <c r="F259" s="49"/>
      <c r="G259" s="49"/>
      <c r="H259" s="49"/>
    </row>
    <row r="260" spans="2:8" ht="21.05" customHeight="1">
      <c r="B260" s="49"/>
      <c r="C260" s="49"/>
      <c r="D260" s="49"/>
      <c r="E260" s="49"/>
      <c r="F260" s="49"/>
      <c r="G260" s="49"/>
      <c r="H260" s="49"/>
    </row>
    <row r="261" spans="2:8" ht="21.05" customHeight="1">
      <c r="B261" s="49"/>
      <c r="C261" s="49"/>
      <c r="D261" s="49"/>
      <c r="E261" s="49"/>
      <c r="F261" s="49"/>
      <c r="G261" s="49"/>
      <c r="H261" s="49"/>
    </row>
    <row r="262" spans="2:8" ht="21.05" customHeight="1">
      <c r="B262" s="49"/>
      <c r="C262" s="49"/>
      <c r="D262" s="49"/>
      <c r="E262" s="49"/>
      <c r="F262" s="49"/>
      <c r="G262" s="49"/>
      <c r="H262" s="49"/>
    </row>
    <row r="263" spans="2:8" ht="21.05" customHeight="1">
      <c r="B263" s="49"/>
      <c r="C263" s="49"/>
      <c r="D263" s="49"/>
      <c r="E263" s="49"/>
      <c r="F263" s="49"/>
      <c r="G263" s="49"/>
      <c r="H263" s="49"/>
    </row>
    <row r="264" spans="2:8" ht="21.05" customHeight="1">
      <c r="B264" s="49"/>
      <c r="C264" s="49"/>
      <c r="D264" s="49"/>
      <c r="E264" s="49"/>
      <c r="F264" s="49"/>
      <c r="G264" s="49"/>
      <c r="H264" s="49"/>
    </row>
    <row r="265" spans="2:8" ht="21.05" customHeight="1">
      <c r="B265" s="49"/>
      <c r="C265" s="49"/>
      <c r="D265" s="49"/>
      <c r="E265" s="49"/>
      <c r="F265" s="49"/>
      <c r="G265" s="49"/>
      <c r="H265" s="49"/>
    </row>
    <row r="266" spans="2:8" ht="21.05" customHeight="1">
      <c r="B266" s="49"/>
      <c r="C266" s="49"/>
      <c r="D266" s="49"/>
      <c r="E266" s="49"/>
      <c r="F266" s="49"/>
      <c r="G266" s="49"/>
      <c r="H266" s="49"/>
    </row>
    <row r="267" spans="2:8" ht="21.05" customHeight="1">
      <c r="B267" s="49"/>
      <c r="C267" s="49"/>
      <c r="D267" s="49"/>
      <c r="E267" s="49"/>
      <c r="F267" s="49"/>
      <c r="G267" s="49"/>
      <c r="H267" s="49"/>
    </row>
    <row r="268" spans="2:8" ht="21.05" customHeight="1">
      <c r="B268" s="49"/>
      <c r="C268" s="49"/>
      <c r="D268" s="49"/>
      <c r="E268" s="49"/>
      <c r="F268" s="49"/>
      <c r="G268" s="49"/>
      <c r="H268" s="49"/>
    </row>
    <row r="269" spans="2:8" ht="21.05" customHeight="1">
      <c r="B269" s="49"/>
      <c r="C269" s="49"/>
      <c r="D269" s="49"/>
      <c r="E269" s="49"/>
      <c r="F269" s="49"/>
      <c r="G269" s="49"/>
      <c r="H269" s="49"/>
    </row>
    <row r="270" spans="2:8" ht="21.05" customHeight="1">
      <c r="B270" s="49"/>
      <c r="C270" s="49"/>
      <c r="D270" s="49"/>
      <c r="E270" s="49"/>
      <c r="F270" s="49"/>
      <c r="G270" s="49"/>
      <c r="H270" s="49"/>
    </row>
    <row r="271" spans="2:8" ht="21.05" customHeight="1">
      <c r="B271" s="49"/>
      <c r="C271" s="49"/>
      <c r="D271" s="49"/>
      <c r="E271" s="49"/>
      <c r="F271" s="49"/>
      <c r="G271" s="49"/>
      <c r="H271" s="49"/>
    </row>
    <row r="272" spans="2:8" ht="21.05" customHeight="1">
      <c r="B272" s="49"/>
      <c r="C272" s="49"/>
      <c r="D272" s="49"/>
      <c r="E272" s="49"/>
      <c r="F272" s="49"/>
      <c r="G272" s="49"/>
      <c r="H272" s="49"/>
    </row>
    <row r="273" spans="2:8" ht="21.05" customHeight="1">
      <c r="B273" s="49"/>
      <c r="C273" s="49"/>
      <c r="D273" s="49"/>
      <c r="E273" s="49"/>
      <c r="F273" s="49"/>
      <c r="G273" s="49"/>
      <c r="H273" s="49"/>
    </row>
    <row r="274" spans="2:8" ht="21.05" customHeight="1">
      <c r="B274" s="49"/>
      <c r="C274" s="49"/>
      <c r="D274" s="49"/>
      <c r="E274" s="49"/>
      <c r="F274" s="49"/>
      <c r="G274" s="49"/>
      <c r="H274" s="49"/>
    </row>
    <row r="275" spans="2:8" ht="21.05" customHeight="1">
      <c r="B275" s="49"/>
      <c r="C275" s="49"/>
      <c r="D275" s="49"/>
      <c r="E275" s="49"/>
      <c r="F275" s="49"/>
      <c r="G275" s="49"/>
      <c r="H275" s="49"/>
    </row>
    <row r="276" spans="2:8" ht="21.05" customHeight="1">
      <c r="B276" s="49"/>
      <c r="C276" s="49"/>
      <c r="D276" s="49"/>
      <c r="E276" s="49"/>
      <c r="F276" s="49"/>
      <c r="G276" s="49"/>
      <c r="H276" s="49"/>
    </row>
    <row r="277" spans="2:8" ht="21.05" customHeight="1">
      <c r="B277" s="49"/>
      <c r="C277" s="49"/>
      <c r="D277" s="49"/>
      <c r="E277" s="49"/>
      <c r="F277" s="49"/>
      <c r="G277" s="49"/>
      <c r="H277" s="49"/>
    </row>
    <row r="278" spans="2:8" ht="21.05" customHeight="1">
      <c r="B278" s="49"/>
      <c r="C278" s="49"/>
      <c r="D278" s="49"/>
      <c r="E278" s="49"/>
      <c r="F278" s="49"/>
      <c r="G278" s="49"/>
      <c r="H278" s="49"/>
    </row>
    <row r="279" spans="2:8" ht="21.05" customHeight="1">
      <c r="B279" s="49"/>
      <c r="C279" s="49"/>
      <c r="D279" s="49"/>
      <c r="E279" s="49"/>
      <c r="F279" s="49"/>
      <c r="G279" s="49"/>
      <c r="H279" s="49"/>
    </row>
    <row r="280" spans="2:8" ht="21.05" customHeight="1">
      <c r="B280" s="49"/>
      <c r="C280" s="49"/>
      <c r="D280" s="49"/>
      <c r="E280" s="49"/>
      <c r="F280" s="49"/>
      <c r="G280" s="49"/>
      <c r="H280" s="49"/>
    </row>
    <row r="281" spans="2:8" ht="21.05" customHeight="1">
      <c r="B281" s="49"/>
      <c r="C281" s="49"/>
      <c r="D281" s="49"/>
      <c r="E281" s="49"/>
      <c r="F281" s="49"/>
      <c r="G281" s="49"/>
      <c r="H281" s="49"/>
    </row>
    <row r="282" spans="2:8" ht="21.05" customHeight="1">
      <c r="B282" s="49"/>
      <c r="C282" s="49"/>
      <c r="D282" s="49"/>
      <c r="E282" s="49"/>
      <c r="F282" s="49"/>
      <c r="G282" s="49"/>
      <c r="H282" s="49"/>
    </row>
    <row r="283" spans="2:8" ht="21.05" customHeight="1">
      <c r="B283" s="49"/>
      <c r="C283" s="49"/>
      <c r="D283" s="49"/>
      <c r="E283" s="49"/>
      <c r="F283" s="49"/>
      <c r="G283" s="49"/>
      <c r="H283" s="49"/>
    </row>
    <row r="284" spans="2:8" ht="21.05" customHeight="1">
      <c r="B284" s="49"/>
      <c r="C284" s="49"/>
      <c r="D284" s="49"/>
      <c r="E284" s="49"/>
      <c r="F284" s="49"/>
      <c r="G284" s="49"/>
      <c r="H284" s="49"/>
    </row>
    <row r="285" spans="2:8" ht="21.05" customHeight="1">
      <c r="B285" s="49"/>
      <c r="C285" s="49"/>
      <c r="D285" s="49"/>
      <c r="E285" s="49"/>
      <c r="F285" s="49"/>
      <c r="G285" s="49"/>
      <c r="H285" s="49"/>
    </row>
    <row r="286" spans="2:8" ht="21.05" customHeight="1">
      <c r="B286" s="49"/>
      <c r="C286" s="49"/>
      <c r="D286" s="49"/>
      <c r="E286" s="49"/>
      <c r="F286" s="49"/>
      <c r="G286" s="49"/>
      <c r="H286" s="49"/>
    </row>
    <row r="287" spans="2:8" ht="21.05" customHeight="1">
      <c r="B287" s="49"/>
      <c r="C287" s="49"/>
      <c r="D287" s="49"/>
      <c r="E287" s="49"/>
      <c r="F287" s="49"/>
      <c r="G287" s="49"/>
      <c r="H287" s="49"/>
    </row>
    <row r="288" spans="2:8" ht="21.05" customHeight="1">
      <c r="B288" s="49"/>
      <c r="C288" s="49"/>
      <c r="D288" s="49"/>
      <c r="E288" s="49"/>
      <c r="F288" s="49"/>
      <c r="G288" s="49"/>
      <c r="H288" s="49"/>
    </row>
    <row r="289" spans="2:8" ht="21.05" customHeight="1">
      <c r="B289" s="49"/>
      <c r="C289" s="49"/>
      <c r="D289" s="49"/>
      <c r="E289" s="49"/>
      <c r="F289" s="49"/>
      <c r="G289" s="49"/>
      <c r="H289" s="49"/>
    </row>
    <row r="290" spans="2:8" ht="21.05" customHeight="1">
      <c r="B290" s="49"/>
      <c r="C290" s="49"/>
      <c r="D290" s="49"/>
      <c r="E290" s="49"/>
      <c r="F290" s="49"/>
      <c r="G290" s="49"/>
      <c r="H290" s="49"/>
    </row>
    <row r="291" spans="2:8" ht="21.05" customHeight="1">
      <c r="B291" s="49"/>
      <c r="C291" s="49"/>
      <c r="D291" s="49"/>
      <c r="E291" s="49"/>
      <c r="F291" s="49"/>
      <c r="G291" s="49"/>
      <c r="H291" s="49"/>
    </row>
    <row r="292" spans="2:8" ht="21.05" customHeight="1">
      <c r="B292" s="49"/>
      <c r="C292" s="49"/>
      <c r="D292" s="49"/>
      <c r="E292" s="49"/>
      <c r="F292" s="49"/>
      <c r="G292" s="49"/>
      <c r="H292" s="49"/>
    </row>
    <row r="293" spans="2:8" ht="21.05" customHeight="1">
      <c r="B293" s="49"/>
      <c r="C293" s="49"/>
      <c r="D293" s="49"/>
      <c r="E293" s="49"/>
      <c r="F293" s="49"/>
      <c r="G293" s="49"/>
      <c r="H293" s="49"/>
    </row>
    <row r="294" spans="2:8" ht="21.05" customHeight="1">
      <c r="B294" s="49"/>
      <c r="C294" s="49"/>
      <c r="D294" s="49"/>
      <c r="E294" s="49"/>
      <c r="F294" s="49"/>
      <c r="G294" s="49"/>
      <c r="H294" s="49"/>
    </row>
    <row r="295" spans="2:8" ht="21.05" customHeight="1">
      <c r="B295" s="49"/>
      <c r="C295" s="49"/>
      <c r="D295" s="49"/>
      <c r="E295" s="49"/>
      <c r="F295" s="49"/>
      <c r="G295" s="49"/>
      <c r="H295" s="49"/>
    </row>
    <row r="296" spans="2:8" ht="21.05" customHeight="1">
      <c r="B296" s="49"/>
      <c r="C296" s="49"/>
      <c r="D296" s="49"/>
      <c r="E296" s="49"/>
      <c r="F296" s="49"/>
      <c r="G296" s="49"/>
      <c r="H296" s="49"/>
    </row>
    <row r="297" spans="2:8" ht="21.05" customHeight="1">
      <c r="B297" s="49"/>
      <c r="C297" s="49"/>
      <c r="D297" s="49"/>
      <c r="E297" s="49"/>
      <c r="F297" s="49"/>
      <c r="G297" s="49"/>
      <c r="H297" s="49"/>
    </row>
    <row r="298" spans="2:8" ht="21.05" customHeight="1">
      <c r="B298" s="49"/>
      <c r="C298" s="49"/>
      <c r="D298" s="49"/>
      <c r="E298" s="49"/>
      <c r="F298" s="49"/>
      <c r="G298" s="49"/>
      <c r="H298" s="49"/>
    </row>
    <row r="299" spans="2:8" ht="21.05" customHeight="1">
      <c r="B299" s="49"/>
      <c r="C299" s="49"/>
      <c r="D299" s="49"/>
      <c r="E299" s="49"/>
      <c r="F299" s="49"/>
      <c r="G299" s="49"/>
      <c r="H299" s="49"/>
    </row>
    <row r="300" spans="2:8" ht="21.05" customHeight="1">
      <c r="B300" s="49"/>
      <c r="C300" s="49"/>
      <c r="D300" s="49"/>
      <c r="E300" s="49"/>
      <c r="F300" s="49"/>
      <c r="G300" s="49"/>
      <c r="H300" s="49"/>
    </row>
    <row r="301" spans="2:8" ht="21.05" customHeight="1">
      <c r="B301" s="49"/>
      <c r="C301" s="49"/>
      <c r="D301" s="49"/>
      <c r="E301" s="49"/>
      <c r="F301" s="49"/>
      <c r="G301" s="49"/>
      <c r="H301" s="49"/>
    </row>
    <row r="302" spans="2:8" ht="21.05" customHeight="1">
      <c r="B302" s="49"/>
      <c r="C302" s="49"/>
      <c r="D302" s="49"/>
      <c r="E302" s="49"/>
      <c r="F302" s="49"/>
      <c r="G302" s="49"/>
      <c r="H302" s="49"/>
    </row>
    <row r="303" spans="2:8" ht="21.05" customHeight="1">
      <c r="B303" s="49"/>
      <c r="C303" s="49"/>
      <c r="D303" s="49"/>
      <c r="E303" s="49"/>
      <c r="F303" s="49"/>
      <c r="G303" s="49"/>
      <c r="H303" s="49"/>
    </row>
    <row r="304" spans="2:8" ht="21.05" customHeight="1">
      <c r="B304" s="49"/>
      <c r="C304" s="49"/>
      <c r="D304" s="49"/>
      <c r="E304" s="49"/>
      <c r="F304" s="49"/>
      <c r="G304" s="49"/>
      <c r="H304" s="49"/>
    </row>
    <row r="305" spans="2:8" ht="21.05" customHeight="1">
      <c r="B305" s="49"/>
      <c r="C305" s="49"/>
      <c r="D305" s="49"/>
      <c r="E305" s="49"/>
      <c r="F305" s="49"/>
      <c r="G305" s="49"/>
      <c r="H305" s="49"/>
    </row>
    <row r="306" spans="2:8" ht="21.05" customHeight="1">
      <c r="B306" s="49"/>
      <c r="C306" s="49"/>
      <c r="D306" s="49"/>
      <c r="E306" s="49"/>
      <c r="F306" s="49"/>
      <c r="G306" s="49"/>
      <c r="H306" s="49"/>
    </row>
    <row r="307" spans="2:8" ht="21.05" customHeight="1">
      <c r="B307" s="49"/>
      <c r="C307" s="49"/>
      <c r="D307" s="49"/>
      <c r="E307" s="49"/>
      <c r="F307" s="49"/>
      <c r="G307" s="49"/>
      <c r="H307" s="49"/>
    </row>
    <row r="308" spans="2:8" ht="21.05" customHeight="1">
      <c r="B308" s="49"/>
      <c r="C308" s="49"/>
      <c r="D308" s="49"/>
      <c r="E308" s="49"/>
      <c r="F308" s="49"/>
      <c r="G308" s="49"/>
      <c r="H308" s="49"/>
    </row>
    <row r="309" spans="2:8" ht="21.05" customHeight="1">
      <c r="B309" s="49"/>
      <c r="C309" s="49"/>
      <c r="D309" s="49"/>
      <c r="E309" s="49"/>
      <c r="F309" s="49"/>
      <c r="G309" s="49"/>
      <c r="H309" s="49"/>
    </row>
    <row r="310" spans="2:8" ht="21.05" customHeight="1">
      <c r="B310" s="49"/>
      <c r="C310" s="49"/>
      <c r="D310" s="49"/>
      <c r="E310" s="49"/>
      <c r="F310" s="49"/>
      <c r="G310" s="49"/>
      <c r="H310" s="49"/>
    </row>
    <row r="311" spans="2:8" ht="21.05" customHeight="1">
      <c r="B311" s="49"/>
      <c r="C311" s="49"/>
      <c r="D311" s="49"/>
      <c r="E311" s="49"/>
      <c r="F311" s="49"/>
      <c r="G311" s="49"/>
      <c r="H311" s="49"/>
    </row>
    <row r="312" spans="2:8" ht="21.05" customHeight="1">
      <c r="B312" s="49"/>
      <c r="C312" s="49"/>
      <c r="D312" s="49"/>
      <c r="E312" s="49"/>
      <c r="F312" s="49"/>
      <c r="G312" s="49"/>
      <c r="H312" s="49"/>
    </row>
    <row r="313" spans="2:8" ht="21.05" customHeight="1">
      <c r="B313" s="49"/>
      <c r="C313" s="49"/>
      <c r="D313" s="49"/>
      <c r="E313" s="49"/>
      <c r="F313" s="49"/>
      <c r="G313" s="49"/>
      <c r="H313" s="49"/>
    </row>
    <row r="314" spans="2:8" ht="21.05" customHeight="1">
      <c r="B314" s="49"/>
      <c r="C314" s="49"/>
      <c r="D314" s="49"/>
      <c r="E314" s="49"/>
      <c r="F314" s="49"/>
      <c r="G314" s="49"/>
      <c r="H314" s="49"/>
    </row>
    <row r="315" spans="2:8" ht="21.05" customHeight="1">
      <c r="B315" s="49"/>
      <c r="C315" s="49"/>
      <c r="D315" s="49"/>
      <c r="E315" s="49"/>
      <c r="F315" s="49"/>
      <c r="G315" s="49"/>
      <c r="H315" s="49"/>
    </row>
    <row r="316" spans="2:8" ht="21.05" customHeight="1">
      <c r="B316" s="49"/>
      <c r="C316" s="49"/>
      <c r="D316" s="49"/>
      <c r="E316" s="49"/>
      <c r="F316" s="49"/>
      <c r="G316" s="49"/>
      <c r="H316" s="49"/>
    </row>
    <row r="317" spans="2:8" ht="21.05" customHeight="1">
      <c r="B317" s="49"/>
      <c r="C317" s="49"/>
      <c r="D317" s="49"/>
      <c r="E317" s="49"/>
      <c r="F317" s="49"/>
      <c r="G317" s="49"/>
      <c r="H317" s="49"/>
    </row>
    <row r="318" spans="2:8" ht="21.05" customHeight="1">
      <c r="B318" s="49"/>
      <c r="C318" s="49"/>
      <c r="D318" s="49"/>
      <c r="E318" s="49"/>
      <c r="F318" s="49"/>
      <c r="G318" s="49"/>
      <c r="H318" s="49"/>
    </row>
    <row r="319" spans="2:8" ht="21.05" customHeight="1">
      <c r="B319" s="49"/>
      <c r="C319" s="49"/>
      <c r="D319" s="49"/>
      <c r="E319" s="49"/>
      <c r="F319" s="49"/>
      <c r="G319" s="49"/>
      <c r="H319" s="49"/>
    </row>
    <row r="320" spans="2:8" ht="21.05" customHeight="1">
      <c r="B320" s="49"/>
      <c r="C320" s="49"/>
      <c r="D320" s="49"/>
      <c r="E320" s="49"/>
      <c r="F320" s="49"/>
      <c r="G320" s="49"/>
      <c r="H320" s="49"/>
    </row>
    <row r="321" spans="2:8" ht="21.05" customHeight="1">
      <c r="B321" s="49"/>
      <c r="C321" s="49"/>
      <c r="D321" s="49"/>
      <c r="E321" s="49"/>
      <c r="F321" s="49"/>
      <c r="G321" s="49"/>
      <c r="H321" s="49"/>
    </row>
    <row r="322" spans="2:8" ht="21.05" customHeight="1">
      <c r="B322" s="49"/>
      <c r="C322" s="49"/>
      <c r="D322" s="49"/>
      <c r="E322" s="49"/>
      <c r="F322" s="49"/>
      <c r="G322" s="49"/>
      <c r="H322" s="49"/>
    </row>
    <row r="323" spans="2:8" ht="21.05" customHeight="1">
      <c r="B323" s="49"/>
      <c r="C323" s="49"/>
      <c r="D323" s="49"/>
      <c r="E323" s="49"/>
      <c r="F323" s="49"/>
      <c r="G323" s="49"/>
      <c r="H323" s="49"/>
    </row>
    <row r="324" spans="2:8" ht="21.05" customHeight="1">
      <c r="B324" s="49"/>
      <c r="C324" s="49"/>
      <c r="D324" s="49"/>
      <c r="E324" s="49"/>
      <c r="F324" s="49"/>
      <c r="G324" s="49"/>
      <c r="H324" s="49"/>
    </row>
    <row r="325" spans="2:8" ht="21.05" customHeight="1">
      <c r="B325" s="49"/>
      <c r="C325" s="49"/>
      <c r="D325" s="49"/>
      <c r="E325" s="49"/>
      <c r="F325" s="49"/>
      <c r="G325" s="49"/>
      <c r="H325" s="49"/>
    </row>
    <row r="326" spans="2:8" ht="21.05" customHeight="1">
      <c r="B326" s="49"/>
      <c r="C326" s="49"/>
      <c r="D326" s="49"/>
      <c r="E326" s="49"/>
      <c r="F326" s="49"/>
      <c r="G326" s="49"/>
      <c r="H326" s="49"/>
    </row>
    <row r="327" spans="2:8" ht="21.05" customHeight="1">
      <c r="B327" s="49"/>
      <c r="C327" s="49"/>
      <c r="D327" s="49"/>
      <c r="E327" s="49"/>
      <c r="F327" s="49"/>
      <c r="G327" s="49"/>
      <c r="H327" s="49"/>
    </row>
    <row r="328" spans="2:8" ht="21.05" customHeight="1">
      <c r="B328" s="49"/>
      <c r="C328" s="49"/>
      <c r="D328" s="49"/>
      <c r="E328" s="49"/>
      <c r="F328" s="49"/>
      <c r="G328" s="49"/>
      <c r="H328" s="49"/>
    </row>
    <row r="329" spans="2:8" ht="21.05" customHeight="1">
      <c r="B329" s="49"/>
      <c r="C329" s="49"/>
      <c r="D329" s="49"/>
      <c r="E329" s="49"/>
      <c r="F329" s="49"/>
      <c r="G329" s="49"/>
      <c r="H329" s="49"/>
    </row>
    <row r="330" spans="2:8" ht="21.05" customHeight="1">
      <c r="B330" s="49"/>
      <c r="C330" s="49"/>
      <c r="D330" s="49"/>
      <c r="E330" s="49"/>
      <c r="F330" s="49"/>
      <c r="G330" s="49"/>
      <c r="H330" s="49"/>
    </row>
    <row r="331" spans="2:8" ht="21.05" customHeight="1">
      <c r="B331" s="49"/>
      <c r="C331" s="49"/>
      <c r="D331" s="49"/>
      <c r="E331" s="49"/>
      <c r="F331" s="49"/>
      <c r="G331" s="49"/>
      <c r="H331" s="49"/>
    </row>
    <row r="332" spans="2:8" ht="21.05" customHeight="1">
      <c r="B332" s="49"/>
      <c r="C332" s="49"/>
      <c r="D332" s="49"/>
      <c r="E332" s="49"/>
      <c r="F332" s="49"/>
      <c r="G332" s="49"/>
      <c r="H332" s="49"/>
    </row>
    <row r="333" spans="2:8" ht="21.05" customHeight="1">
      <c r="B333" s="49"/>
      <c r="C333" s="49"/>
      <c r="D333" s="49"/>
      <c r="E333" s="49"/>
      <c r="F333" s="49"/>
      <c r="G333" s="49"/>
      <c r="H333" s="49"/>
    </row>
    <row r="334" spans="2:8" ht="21.05" customHeight="1">
      <c r="B334" s="49"/>
      <c r="C334" s="49"/>
      <c r="D334" s="49"/>
      <c r="E334" s="49"/>
      <c r="F334" s="49"/>
      <c r="G334" s="49"/>
      <c r="H334" s="49"/>
    </row>
    <row r="335" spans="2:8" ht="21.05" customHeight="1">
      <c r="B335" s="49"/>
      <c r="C335" s="49"/>
      <c r="D335" s="49"/>
      <c r="E335" s="49"/>
      <c r="F335" s="49"/>
      <c r="G335" s="49"/>
      <c r="H335" s="49"/>
    </row>
    <row r="336" spans="2:8" ht="21.05" customHeight="1">
      <c r="B336" s="49"/>
      <c r="C336" s="49"/>
      <c r="D336" s="49"/>
      <c r="E336" s="49"/>
      <c r="F336" s="49"/>
      <c r="G336" s="49"/>
      <c r="H336" s="49"/>
    </row>
    <row r="337" spans="2:8" ht="21.05" customHeight="1">
      <c r="B337" s="49"/>
      <c r="C337" s="49"/>
      <c r="D337" s="49"/>
      <c r="E337" s="49"/>
      <c r="F337" s="49"/>
      <c r="G337" s="49"/>
      <c r="H337" s="49"/>
    </row>
    <row r="338" spans="2:8" ht="21.05" customHeight="1">
      <c r="B338" s="49"/>
      <c r="C338" s="49"/>
      <c r="D338" s="49"/>
      <c r="E338" s="49"/>
      <c r="F338" s="49"/>
      <c r="G338" s="49"/>
      <c r="H338" s="49"/>
    </row>
    <row r="339" spans="2:8" ht="21.05" customHeight="1">
      <c r="B339" s="49"/>
      <c r="C339" s="49"/>
      <c r="D339" s="49"/>
      <c r="E339" s="49"/>
      <c r="F339" s="49"/>
      <c r="G339" s="49"/>
      <c r="H339" s="49"/>
    </row>
    <row r="340" spans="2:8" ht="21.05" customHeight="1">
      <c r="B340" s="49"/>
      <c r="C340" s="49"/>
      <c r="D340" s="49"/>
      <c r="E340" s="49"/>
      <c r="F340" s="49"/>
      <c r="G340" s="49"/>
      <c r="H340" s="49"/>
    </row>
    <row r="341" spans="2:8" ht="21.05" customHeight="1">
      <c r="B341" s="49"/>
      <c r="C341" s="49"/>
      <c r="D341" s="49"/>
      <c r="E341" s="49"/>
      <c r="F341" s="49"/>
      <c r="G341" s="49"/>
      <c r="H341" s="49"/>
    </row>
    <row r="342" spans="2:8" ht="21.05" customHeight="1">
      <c r="B342" s="49"/>
      <c r="C342" s="49"/>
      <c r="D342" s="49"/>
      <c r="E342" s="49"/>
      <c r="F342" s="49"/>
      <c r="G342" s="49"/>
      <c r="H342" s="49"/>
    </row>
    <row r="343" spans="2:8" ht="21.05" customHeight="1">
      <c r="B343" s="49"/>
      <c r="C343" s="49"/>
      <c r="D343" s="49"/>
      <c r="E343" s="49"/>
      <c r="F343" s="49"/>
      <c r="G343" s="49"/>
      <c r="H343" s="49"/>
    </row>
    <row r="344" spans="2:8" ht="21.05" customHeight="1">
      <c r="B344" s="49"/>
      <c r="C344" s="49"/>
      <c r="D344" s="49"/>
      <c r="E344" s="49"/>
      <c r="F344" s="49"/>
      <c r="G344" s="49"/>
      <c r="H344" s="49"/>
    </row>
    <row r="345" spans="2:8" ht="21.05" customHeight="1">
      <c r="B345" s="49"/>
      <c r="C345" s="49"/>
      <c r="D345" s="49"/>
      <c r="E345" s="49"/>
      <c r="F345" s="49"/>
      <c r="G345" s="49"/>
      <c r="H345" s="49"/>
    </row>
    <row r="346" spans="2:8" ht="21.05" customHeight="1">
      <c r="B346" s="49"/>
      <c r="C346" s="49"/>
      <c r="D346" s="49"/>
      <c r="E346" s="49"/>
      <c r="F346" s="49"/>
      <c r="G346" s="49"/>
      <c r="H346" s="49"/>
    </row>
    <row r="347" spans="2:8" ht="21.05" customHeight="1">
      <c r="B347" s="49"/>
      <c r="C347" s="49"/>
      <c r="D347" s="49"/>
      <c r="E347" s="49"/>
      <c r="F347" s="49"/>
      <c r="G347" s="49"/>
      <c r="H347" s="49"/>
    </row>
    <row r="348" spans="2:8" ht="21.05" customHeight="1">
      <c r="B348" s="49"/>
      <c r="C348" s="49"/>
      <c r="D348" s="49"/>
      <c r="E348" s="49"/>
      <c r="F348" s="49"/>
      <c r="G348" s="49"/>
      <c r="H348" s="49"/>
    </row>
    <row r="349" spans="2:8" ht="21.05" customHeight="1">
      <c r="B349" s="49"/>
      <c r="C349" s="49"/>
      <c r="D349" s="49"/>
      <c r="E349" s="49"/>
      <c r="F349" s="49"/>
      <c r="G349" s="49"/>
      <c r="H349" s="49"/>
    </row>
    <row r="350" spans="2:8" ht="21.05" customHeight="1">
      <c r="B350" s="49"/>
      <c r="C350" s="49"/>
      <c r="D350" s="49"/>
      <c r="E350" s="49"/>
      <c r="F350" s="49"/>
      <c r="G350" s="49"/>
      <c r="H350" s="49"/>
    </row>
    <row r="351" spans="2:8" ht="21.05" customHeight="1">
      <c r="B351" s="49"/>
      <c r="C351" s="49"/>
      <c r="D351" s="49"/>
      <c r="E351" s="49"/>
      <c r="F351" s="49"/>
      <c r="G351" s="49"/>
      <c r="H351" s="49"/>
    </row>
    <row r="352" spans="2:8" ht="21.05" customHeight="1">
      <c r="B352" s="49"/>
      <c r="C352" s="49"/>
      <c r="D352" s="49"/>
      <c r="E352" s="49"/>
      <c r="F352" s="49"/>
      <c r="G352" s="49"/>
      <c r="H352" s="49"/>
    </row>
    <row r="353" spans="2:8" ht="21.05" customHeight="1">
      <c r="B353" s="49"/>
      <c r="C353" s="49"/>
      <c r="D353" s="49"/>
      <c r="E353" s="49"/>
      <c r="F353" s="49"/>
      <c r="G353" s="49"/>
      <c r="H353" s="49"/>
    </row>
    <row r="354" spans="2:8" ht="21.05" customHeight="1">
      <c r="B354" s="49"/>
      <c r="C354" s="49"/>
      <c r="D354" s="49"/>
      <c r="E354" s="49"/>
      <c r="F354" s="49"/>
      <c r="G354" s="49"/>
      <c r="H354" s="49"/>
    </row>
    <row r="355" spans="2:8" ht="21.05" customHeight="1">
      <c r="B355" s="49"/>
      <c r="C355" s="49"/>
      <c r="D355" s="49"/>
      <c r="E355" s="49"/>
      <c r="F355" s="49"/>
      <c r="G355" s="49"/>
      <c r="H355" s="49"/>
    </row>
    <row r="356" spans="2:8" ht="21.05" customHeight="1">
      <c r="B356" s="49"/>
      <c r="C356" s="49"/>
      <c r="D356" s="49"/>
      <c r="E356" s="49"/>
      <c r="F356" s="49"/>
      <c r="G356" s="49"/>
      <c r="H356" s="49"/>
    </row>
    <row r="357" spans="2:8" ht="21.05" customHeight="1">
      <c r="B357" s="49"/>
      <c r="C357" s="49"/>
      <c r="D357" s="49"/>
      <c r="E357" s="49"/>
      <c r="F357" s="49"/>
      <c r="G357" s="49"/>
      <c r="H357" s="49"/>
    </row>
    <row r="358" spans="2:8" ht="21.05" customHeight="1">
      <c r="B358" s="49"/>
      <c r="C358" s="49"/>
      <c r="D358" s="49"/>
      <c r="E358" s="49"/>
      <c r="F358" s="49"/>
      <c r="G358" s="49"/>
      <c r="H358" s="49"/>
    </row>
    <row r="359" spans="2:8" ht="21.05" customHeight="1">
      <c r="B359" s="49"/>
      <c r="C359" s="49"/>
      <c r="D359" s="49"/>
      <c r="E359" s="49"/>
      <c r="F359" s="49"/>
      <c r="G359" s="49"/>
      <c r="H359" s="49"/>
    </row>
    <row r="360" spans="2:8" ht="21.05" customHeight="1">
      <c r="B360" s="49"/>
      <c r="C360" s="49"/>
      <c r="D360" s="49"/>
      <c r="E360" s="49"/>
      <c r="F360" s="49"/>
      <c r="G360" s="49"/>
      <c r="H360" s="49"/>
    </row>
    <row r="361" spans="2:8" ht="21.05" customHeight="1">
      <c r="B361" s="49"/>
      <c r="C361" s="49"/>
      <c r="D361" s="49"/>
      <c r="E361" s="49"/>
      <c r="F361" s="49"/>
      <c r="G361" s="49"/>
      <c r="H361" s="49"/>
    </row>
    <row r="362" spans="2:8" ht="21.05" customHeight="1">
      <c r="B362" s="49"/>
      <c r="C362" s="49"/>
      <c r="D362" s="49"/>
      <c r="E362" s="49"/>
      <c r="F362" s="49"/>
      <c r="G362" s="49"/>
      <c r="H362" s="49"/>
    </row>
    <row r="363" spans="2:8" ht="21.05" customHeight="1">
      <c r="B363" s="49"/>
      <c r="C363" s="49"/>
      <c r="D363" s="49"/>
      <c r="E363" s="49"/>
      <c r="F363" s="49"/>
      <c r="G363" s="49"/>
      <c r="H363" s="49"/>
    </row>
    <row r="364" spans="2:8" ht="21.05" customHeight="1">
      <c r="B364" s="49"/>
      <c r="C364" s="49"/>
      <c r="D364" s="49"/>
      <c r="E364" s="49"/>
      <c r="F364" s="49"/>
      <c r="G364" s="49"/>
      <c r="H364" s="49"/>
    </row>
    <row r="365" spans="2:8" ht="21.05" customHeight="1">
      <c r="B365" s="49"/>
      <c r="C365" s="49"/>
      <c r="D365" s="49"/>
      <c r="E365" s="49"/>
      <c r="F365" s="49"/>
      <c r="G365" s="49"/>
      <c r="H365" s="49"/>
    </row>
    <row r="366" spans="2:8" ht="21.05" customHeight="1">
      <c r="B366" s="49"/>
      <c r="C366" s="49"/>
      <c r="D366" s="49"/>
      <c r="E366" s="49"/>
      <c r="F366" s="49"/>
      <c r="G366" s="49"/>
      <c r="H366" s="49"/>
    </row>
    <row r="367" spans="2:8" ht="21.05" customHeight="1">
      <c r="B367" s="49"/>
      <c r="C367" s="49"/>
      <c r="D367" s="49"/>
      <c r="E367" s="49"/>
      <c r="F367" s="49"/>
      <c r="G367" s="49"/>
      <c r="H367" s="49"/>
    </row>
    <row r="368" spans="2:8" ht="21.05" customHeight="1">
      <c r="B368" s="49"/>
      <c r="C368" s="49"/>
      <c r="D368" s="49"/>
      <c r="E368" s="49"/>
      <c r="F368" s="49"/>
      <c r="G368" s="49"/>
      <c r="H368" s="49"/>
    </row>
    <row r="369" spans="2:8" ht="21.05" customHeight="1">
      <c r="B369" s="49"/>
      <c r="C369" s="49"/>
      <c r="D369" s="49"/>
      <c r="E369" s="49"/>
      <c r="F369" s="49"/>
      <c r="G369" s="49"/>
      <c r="H369" s="49"/>
    </row>
    <row r="370" spans="2:8" ht="21.05" customHeight="1">
      <c r="B370" s="49"/>
      <c r="C370" s="49"/>
      <c r="D370" s="49"/>
      <c r="E370" s="49"/>
      <c r="F370" s="49"/>
      <c r="G370" s="49"/>
      <c r="H370" s="49"/>
    </row>
    <row r="371" spans="2:8" ht="21.05" customHeight="1">
      <c r="B371" s="49"/>
      <c r="C371" s="49"/>
      <c r="D371" s="49"/>
      <c r="E371" s="49"/>
      <c r="F371" s="49"/>
      <c r="G371" s="49"/>
      <c r="H371" s="49"/>
    </row>
    <row r="372" spans="2:8" ht="21.05" customHeight="1">
      <c r="B372" s="49"/>
      <c r="C372" s="49"/>
      <c r="D372" s="49"/>
      <c r="E372" s="49"/>
      <c r="F372" s="49"/>
      <c r="G372" s="49"/>
      <c r="H372" s="49"/>
    </row>
    <row r="373" spans="2:8" ht="21.05" customHeight="1">
      <c r="B373" s="49"/>
      <c r="C373" s="49"/>
      <c r="D373" s="49"/>
      <c r="E373" s="49"/>
      <c r="F373" s="49"/>
      <c r="G373" s="49"/>
      <c r="H373" s="49"/>
    </row>
    <row r="374" spans="2:8" ht="21.05" customHeight="1">
      <c r="B374" s="49"/>
      <c r="C374" s="49"/>
      <c r="D374" s="49"/>
      <c r="E374" s="49"/>
      <c r="F374" s="49"/>
      <c r="G374" s="49"/>
      <c r="H374" s="49"/>
    </row>
    <row r="375" spans="2:8" ht="21.05" customHeight="1">
      <c r="B375" s="49"/>
      <c r="C375" s="49"/>
      <c r="D375" s="49"/>
      <c r="E375" s="49"/>
      <c r="F375" s="49"/>
      <c r="G375" s="49"/>
      <c r="H375" s="49"/>
    </row>
    <row r="376" spans="2:8" ht="21.05" customHeight="1">
      <c r="B376" s="49"/>
      <c r="C376" s="49"/>
      <c r="D376" s="49"/>
      <c r="E376" s="49"/>
      <c r="F376" s="49"/>
      <c r="G376" s="49"/>
      <c r="H376" s="49"/>
    </row>
    <row r="377" spans="2:8" ht="21.05" customHeight="1">
      <c r="B377" s="49"/>
      <c r="C377" s="49"/>
      <c r="D377" s="49"/>
      <c r="E377" s="49"/>
      <c r="F377" s="49"/>
      <c r="G377" s="49"/>
      <c r="H377" s="49"/>
    </row>
    <row r="378" spans="2:8" ht="21.05" customHeight="1">
      <c r="B378" s="49"/>
      <c r="C378" s="49"/>
      <c r="D378" s="49"/>
      <c r="E378" s="49"/>
      <c r="F378" s="49"/>
      <c r="G378" s="49"/>
      <c r="H378" s="49"/>
    </row>
    <row r="379" spans="2:8" ht="21.05" customHeight="1">
      <c r="B379" s="49"/>
      <c r="C379" s="49"/>
      <c r="D379" s="49"/>
      <c r="E379" s="49"/>
      <c r="F379" s="49"/>
      <c r="G379" s="49"/>
      <c r="H379" s="49"/>
    </row>
    <row r="380" spans="2:8" ht="21.05" customHeight="1">
      <c r="B380" s="49"/>
      <c r="C380" s="49"/>
      <c r="D380" s="49"/>
      <c r="E380" s="49"/>
      <c r="F380" s="49"/>
      <c r="G380" s="49"/>
      <c r="H380" s="49"/>
    </row>
    <row r="381" spans="2:8" ht="21.05" customHeight="1">
      <c r="B381" s="49"/>
      <c r="C381" s="49"/>
      <c r="D381" s="49"/>
      <c r="E381" s="49"/>
      <c r="F381" s="49"/>
      <c r="G381" s="49"/>
      <c r="H381" s="49"/>
    </row>
    <row r="382" spans="2:8" ht="21.05" customHeight="1">
      <c r="B382" s="49"/>
      <c r="C382" s="49"/>
      <c r="D382" s="49"/>
      <c r="E382" s="49"/>
      <c r="F382" s="49"/>
      <c r="G382" s="49"/>
      <c r="H382" s="49"/>
    </row>
    <row r="383" spans="2:8" ht="21.05" customHeight="1">
      <c r="B383" s="49"/>
      <c r="C383" s="49"/>
      <c r="D383" s="49"/>
      <c r="E383" s="49"/>
      <c r="F383" s="49"/>
      <c r="G383" s="49"/>
      <c r="H383" s="49"/>
    </row>
    <row r="384" spans="2:8" ht="21.05" customHeight="1">
      <c r="B384" s="49"/>
      <c r="C384" s="49"/>
      <c r="D384" s="49"/>
      <c r="E384" s="49"/>
      <c r="F384" s="49"/>
      <c r="G384" s="49"/>
      <c r="H384" s="49"/>
    </row>
    <row r="385" spans="2:8" ht="21.05" customHeight="1">
      <c r="B385" s="49"/>
      <c r="C385" s="49"/>
      <c r="D385" s="49"/>
      <c r="E385" s="49"/>
      <c r="F385" s="49"/>
      <c r="G385" s="49"/>
      <c r="H385" s="49"/>
    </row>
    <row r="386" spans="2:8" ht="21.05" customHeight="1">
      <c r="B386" s="49"/>
      <c r="C386" s="49"/>
      <c r="D386" s="49"/>
      <c r="E386" s="49"/>
      <c r="F386" s="49"/>
      <c r="G386" s="49"/>
      <c r="H386" s="49"/>
    </row>
    <row r="387" spans="2:8" ht="21.05" customHeight="1">
      <c r="B387" s="49"/>
      <c r="C387" s="49"/>
      <c r="D387" s="49"/>
      <c r="E387" s="49"/>
      <c r="F387" s="49"/>
      <c r="G387" s="49"/>
      <c r="H387" s="49"/>
    </row>
    <row r="388" spans="2:8" ht="21.05" customHeight="1">
      <c r="B388" s="49"/>
      <c r="C388" s="49"/>
      <c r="D388" s="49"/>
      <c r="E388" s="49"/>
      <c r="F388" s="49"/>
      <c r="G388" s="49"/>
      <c r="H388" s="49"/>
    </row>
    <row r="389" spans="2:8" ht="21.05" customHeight="1">
      <c r="B389" s="49"/>
      <c r="C389" s="49"/>
      <c r="D389" s="49"/>
      <c r="E389" s="49"/>
      <c r="F389" s="49"/>
      <c r="G389" s="49"/>
      <c r="H389" s="49"/>
    </row>
    <row r="390" spans="2:8" ht="21.05" customHeight="1">
      <c r="B390" s="49"/>
      <c r="C390" s="49"/>
      <c r="D390" s="49"/>
      <c r="E390" s="49"/>
      <c r="F390" s="49"/>
      <c r="G390" s="49"/>
      <c r="H390" s="49"/>
    </row>
    <row r="391" spans="2:8" ht="21.05" customHeight="1">
      <c r="B391" s="49"/>
      <c r="C391" s="49"/>
      <c r="D391" s="49"/>
      <c r="E391" s="49"/>
      <c r="F391" s="49"/>
      <c r="G391" s="49"/>
      <c r="H391" s="49"/>
    </row>
    <row r="392" spans="2:8" ht="21.05" customHeight="1">
      <c r="B392" s="49"/>
      <c r="C392" s="49"/>
      <c r="D392" s="49"/>
      <c r="E392" s="49"/>
      <c r="F392" s="49"/>
      <c r="G392" s="49"/>
      <c r="H392" s="49"/>
    </row>
    <row r="393" spans="2:8" ht="21.05" customHeight="1">
      <c r="B393" s="49"/>
      <c r="C393" s="49"/>
      <c r="D393" s="49"/>
      <c r="E393" s="49"/>
      <c r="F393" s="49"/>
      <c r="G393" s="49"/>
      <c r="H393" s="49"/>
    </row>
    <row r="394" spans="2:8" ht="21.05" customHeight="1">
      <c r="B394" s="49"/>
      <c r="C394" s="49"/>
      <c r="D394" s="49"/>
      <c r="E394" s="49"/>
      <c r="F394" s="49"/>
      <c r="G394" s="49"/>
      <c r="H394" s="49"/>
    </row>
    <row r="395" spans="2:8" ht="21.05" customHeight="1">
      <c r="B395" s="49"/>
      <c r="C395" s="49"/>
      <c r="D395" s="49"/>
      <c r="E395" s="49"/>
      <c r="F395" s="49"/>
      <c r="G395" s="49"/>
      <c r="H395" s="49"/>
    </row>
    <row r="396" spans="2:8" ht="21.05" customHeight="1">
      <c r="B396" s="49"/>
      <c r="C396" s="49"/>
      <c r="D396" s="49"/>
      <c r="E396" s="49"/>
      <c r="F396" s="49"/>
      <c r="G396" s="49"/>
      <c r="H396" s="49"/>
    </row>
    <row r="397" spans="2:8" ht="21.05" customHeight="1">
      <c r="B397" s="49"/>
      <c r="C397" s="49"/>
      <c r="D397" s="49"/>
      <c r="E397" s="49"/>
      <c r="F397" s="49"/>
      <c r="G397" s="49"/>
      <c r="H397" s="49"/>
    </row>
    <row r="398" spans="2:8" ht="21.05" customHeight="1">
      <c r="B398" s="49"/>
      <c r="C398" s="49"/>
      <c r="D398" s="49"/>
      <c r="E398" s="49"/>
      <c r="F398" s="49"/>
      <c r="G398" s="49"/>
      <c r="H398" s="49"/>
    </row>
    <row r="399" spans="2:8" ht="21.05" customHeight="1">
      <c r="B399" s="49"/>
      <c r="C399" s="49"/>
      <c r="D399" s="49"/>
      <c r="E399" s="49"/>
      <c r="F399" s="49"/>
      <c r="G399" s="49"/>
      <c r="H399" s="49"/>
    </row>
    <row r="400" spans="2:8" ht="21.05" customHeight="1">
      <c r="B400" s="49"/>
      <c r="C400" s="49"/>
      <c r="D400" s="49"/>
      <c r="E400" s="49"/>
      <c r="F400" s="49"/>
      <c r="G400" s="49"/>
      <c r="H400" s="49"/>
    </row>
    <row r="401" spans="2:8" ht="21.05" customHeight="1">
      <c r="B401" s="49"/>
      <c r="C401" s="49"/>
      <c r="D401" s="49"/>
      <c r="E401" s="49"/>
      <c r="F401" s="49"/>
      <c r="G401" s="49"/>
      <c r="H401" s="49"/>
    </row>
    <row r="402" spans="2:8" ht="21.05" customHeight="1">
      <c r="B402" s="49"/>
      <c r="C402" s="49"/>
      <c r="D402" s="49"/>
      <c r="E402" s="49"/>
      <c r="F402" s="49"/>
      <c r="G402" s="49"/>
      <c r="H402" s="49"/>
    </row>
    <row r="403" spans="2:8" ht="21.05" customHeight="1">
      <c r="B403" s="49"/>
      <c r="C403" s="49"/>
      <c r="D403" s="49"/>
      <c r="E403" s="49"/>
      <c r="F403" s="49"/>
      <c r="G403" s="49"/>
      <c r="H403" s="49"/>
    </row>
    <row r="404" spans="2:8" ht="21.05" customHeight="1">
      <c r="B404" s="49"/>
      <c r="C404" s="49"/>
      <c r="D404" s="49"/>
      <c r="E404" s="49"/>
      <c r="F404" s="49"/>
      <c r="G404" s="49"/>
      <c r="H404" s="49"/>
    </row>
    <row r="405" spans="2:8" ht="21.05" customHeight="1">
      <c r="B405" s="49"/>
      <c r="C405" s="49"/>
      <c r="D405" s="49"/>
      <c r="E405" s="49"/>
      <c r="F405" s="49"/>
      <c r="G405" s="49"/>
      <c r="H405" s="49"/>
    </row>
    <row r="406" spans="2:8" ht="21.05" customHeight="1">
      <c r="B406" s="49"/>
      <c r="C406" s="49"/>
      <c r="D406" s="49"/>
      <c r="E406" s="49"/>
      <c r="F406" s="49"/>
      <c r="G406" s="49"/>
      <c r="H406" s="49"/>
    </row>
    <row r="407" spans="2:8" ht="21.05" customHeight="1">
      <c r="B407" s="49"/>
      <c r="C407" s="49"/>
      <c r="D407" s="49"/>
      <c r="E407" s="49"/>
      <c r="F407" s="49"/>
      <c r="G407" s="49"/>
      <c r="H407" s="49"/>
    </row>
    <row r="408" spans="2:8" ht="21.05" customHeight="1">
      <c r="B408" s="49"/>
      <c r="C408" s="49"/>
      <c r="D408" s="49"/>
      <c r="E408" s="49"/>
      <c r="F408" s="49"/>
      <c r="G408" s="49"/>
      <c r="H408" s="49"/>
    </row>
    <row r="409" spans="2:8" ht="21.05" customHeight="1">
      <c r="B409" s="49"/>
      <c r="C409" s="49"/>
      <c r="D409" s="49"/>
      <c r="E409" s="49"/>
      <c r="F409" s="49"/>
      <c r="G409" s="49"/>
      <c r="H409" s="49"/>
    </row>
    <row r="410" spans="2:8" ht="21.05" customHeight="1">
      <c r="B410" s="49"/>
      <c r="C410" s="49"/>
      <c r="D410" s="49"/>
      <c r="E410" s="49"/>
      <c r="F410" s="49"/>
      <c r="G410" s="49"/>
      <c r="H410" s="49"/>
    </row>
    <row r="411" spans="2:8" ht="21.05" customHeight="1">
      <c r="B411" s="49"/>
      <c r="C411" s="49"/>
      <c r="D411" s="49"/>
      <c r="E411" s="49"/>
      <c r="F411" s="49"/>
      <c r="G411" s="49"/>
      <c r="H411" s="49"/>
    </row>
    <row r="412" spans="2:8" ht="21.05" customHeight="1">
      <c r="B412" s="49"/>
      <c r="C412" s="49"/>
      <c r="D412" s="49"/>
      <c r="E412" s="49"/>
      <c r="F412" s="49"/>
      <c r="G412" s="49"/>
      <c r="H412" s="49"/>
    </row>
    <row r="413" spans="2:8" ht="21.05" customHeight="1">
      <c r="B413" s="49"/>
      <c r="C413" s="49"/>
      <c r="D413" s="49"/>
      <c r="E413" s="49"/>
      <c r="F413" s="49"/>
      <c r="G413" s="49"/>
      <c r="H413" s="49"/>
    </row>
    <row r="414" spans="2:8" ht="21.05" customHeight="1">
      <c r="B414" s="49"/>
      <c r="C414" s="49"/>
      <c r="D414" s="49"/>
      <c r="E414" s="49"/>
      <c r="F414" s="49"/>
      <c r="G414" s="49"/>
      <c r="H414" s="49"/>
    </row>
    <row r="415" spans="2:8" ht="21.05" customHeight="1">
      <c r="B415" s="49"/>
      <c r="C415" s="49"/>
      <c r="D415" s="49"/>
      <c r="E415" s="49"/>
      <c r="F415" s="49"/>
      <c r="G415" s="49"/>
      <c r="H415" s="49"/>
    </row>
    <row r="416" spans="2:8" ht="21.05" customHeight="1">
      <c r="B416" s="49"/>
      <c r="C416" s="49"/>
      <c r="D416" s="49"/>
      <c r="E416" s="49"/>
      <c r="F416" s="49"/>
      <c r="G416" s="49"/>
      <c r="H416" s="49"/>
    </row>
    <row r="417" spans="2:8" ht="21.05" customHeight="1">
      <c r="B417" s="49"/>
      <c r="C417" s="49"/>
      <c r="D417" s="49"/>
      <c r="E417" s="49"/>
      <c r="F417" s="49"/>
      <c r="G417" s="49"/>
      <c r="H417" s="49"/>
    </row>
    <row r="418" spans="2:8" ht="21.05" customHeight="1">
      <c r="B418" s="49"/>
      <c r="C418" s="49"/>
      <c r="D418" s="49"/>
      <c r="E418" s="49"/>
      <c r="F418" s="49"/>
      <c r="G418" s="49"/>
      <c r="H418" s="49"/>
    </row>
    <row r="419" spans="2:8" ht="21.05" customHeight="1">
      <c r="B419" s="49"/>
      <c r="C419" s="49"/>
      <c r="D419" s="49"/>
      <c r="E419" s="49"/>
      <c r="F419" s="49"/>
      <c r="G419" s="49"/>
      <c r="H419" s="49"/>
    </row>
    <row r="420" spans="2:8" ht="21.05" customHeight="1">
      <c r="B420" s="49"/>
      <c r="C420" s="49"/>
      <c r="D420" s="49"/>
      <c r="E420" s="49"/>
      <c r="F420" s="49"/>
      <c r="G420" s="49"/>
      <c r="H420" s="49"/>
    </row>
    <row r="421" spans="2:8" ht="21.05" customHeight="1">
      <c r="B421" s="49"/>
      <c r="C421" s="49"/>
      <c r="D421" s="49"/>
      <c r="E421" s="49"/>
      <c r="F421" s="49"/>
      <c r="G421" s="49"/>
      <c r="H421" s="49"/>
    </row>
    <row r="422" spans="2:8" ht="21.05" customHeight="1">
      <c r="B422" s="49"/>
      <c r="C422" s="49"/>
      <c r="D422" s="49"/>
      <c r="E422" s="49"/>
      <c r="F422" s="49"/>
      <c r="G422" s="49"/>
      <c r="H422" s="49"/>
    </row>
    <row r="423" spans="2:8" ht="21.05" customHeight="1">
      <c r="B423" s="49"/>
      <c r="C423" s="49"/>
      <c r="D423" s="49"/>
      <c r="E423" s="49"/>
      <c r="F423" s="49"/>
      <c r="G423" s="49"/>
      <c r="H423" s="49"/>
    </row>
    <row r="424" spans="2:8" ht="21.05" customHeight="1">
      <c r="B424" s="49"/>
      <c r="C424" s="49"/>
      <c r="D424" s="49"/>
      <c r="E424" s="49"/>
      <c r="F424" s="49"/>
      <c r="G424" s="49"/>
      <c r="H424" s="49"/>
    </row>
    <row r="425" spans="2:8" ht="21.05" customHeight="1">
      <c r="B425" s="49"/>
      <c r="C425" s="49"/>
      <c r="D425" s="49"/>
      <c r="E425" s="49"/>
      <c r="F425" s="49"/>
      <c r="G425" s="49"/>
      <c r="H425" s="49"/>
    </row>
    <row r="426" spans="2:8" ht="21.05" customHeight="1">
      <c r="B426" s="49"/>
      <c r="C426" s="49"/>
      <c r="D426" s="49"/>
      <c r="E426" s="49"/>
      <c r="F426" s="49"/>
      <c r="G426" s="49"/>
      <c r="H426" s="49"/>
    </row>
    <row r="427" spans="2:8" ht="21.05" customHeight="1">
      <c r="B427" s="49"/>
      <c r="C427" s="49"/>
      <c r="D427" s="49"/>
      <c r="E427" s="49"/>
      <c r="F427" s="49"/>
      <c r="G427" s="49"/>
      <c r="H427" s="49"/>
    </row>
    <row r="428" spans="2:8" ht="21.05" customHeight="1">
      <c r="B428" s="49"/>
      <c r="C428" s="49"/>
      <c r="D428" s="49"/>
      <c r="E428" s="49"/>
      <c r="F428" s="49"/>
      <c r="G428" s="49"/>
      <c r="H428" s="49"/>
    </row>
    <row r="429" spans="2:8" ht="21.05" customHeight="1">
      <c r="B429" s="49"/>
      <c r="C429" s="49"/>
      <c r="D429" s="49"/>
      <c r="E429" s="49"/>
      <c r="F429" s="49"/>
      <c r="G429" s="49"/>
      <c r="H429" s="49"/>
    </row>
    <row r="430" spans="2:8" ht="21.05" customHeight="1">
      <c r="B430" s="49"/>
      <c r="C430" s="49"/>
      <c r="D430" s="49"/>
      <c r="E430" s="49"/>
      <c r="F430" s="49"/>
      <c r="G430" s="49"/>
      <c r="H430" s="49"/>
    </row>
    <row r="431" spans="2:8" ht="21.05" customHeight="1">
      <c r="B431" s="49"/>
      <c r="C431" s="49"/>
      <c r="D431" s="49"/>
      <c r="E431" s="49"/>
      <c r="F431" s="49"/>
      <c r="G431" s="49"/>
      <c r="H431" s="49"/>
    </row>
    <row r="432" spans="2:8" ht="21.05" customHeight="1">
      <c r="B432" s="49"/>
      <c r="C432" s="49"/>
      <c r="D432" s="49"/>
      <c r="E432" s="49"/>
      <c r="F432" s="49"/>
      <c r="G432" s="49"/>
      <c r="H432" s="49"/>
    </row>
    <row r="433" spans="2:8" ht="21.05" customHeight="1">
      <c r="B433" s="49"/>
      <c r="C433" s="49"/>
      <c r="D433" s="49"/>
      <c r="E433" s="49"/>
      <c r="F433" s="49"/>
      <c r="G433" s="49"/>
      <c r="H433" s="49"/>
    </row>
    <row r="434" spans="2:8" ht="21.05" customHeight="1">
      <c r="B434" s="49"/>
      <c r="C434" s="49"/>
      <c r="D434" s="49"/>
      <c r="E434" s="49"/>
      <c r="F434" s="49"/>
      <c r="G434" s="49"/>
      <c r="H434" s="49"/>
    </row>
    <row r="435" spans="2:8" ht="21.05" customHeight="1">
      <c r="B435" s="49"/>
      <c r="C435" s="49"/>
      <c r="D435" s="49"/>
      <c r="E435" s="49"/>
      <c r="F435" s="49"/>
      <c r="G435" s="49"/>
      <c r="H435" s="49"/>
    </row>
    <row r="436" spans="2:8" ht="21.05" customHeight="1">
      <c r="B436" s="49"/>
      <c r="C436" s="49"/>
      <c r="D436" s="49"/>
      <c r="E436" s="49"/>
      <c r="F436" s="49"/>
      <c r="G436" s="49"/>
      <c r="H436" s="49"/>
    </row>
    <row r="437" spans="2:8" ht="21.05" customHeight="1">
      <c r="B437" s="49"/>
      <c r="C437" s="49"/>
      <c r="D437" s="49"/>
      <c r="E437" s="49"/>
      <c r="F437" s="49"/>
      <c r="G437" s="49"/>
      <c r="H437" s="49"/>
    </row>
    <row r="438" spans="2:8" ht="21.05" customHeight="1">
      <c r="B438" s="49"/>
      <c r="C438" s="49"/>
      <c r="D438" s="49"/>
      <c r="E438" s="49"/>
      <c r="F438" s="49"/>
      <c r="G438" s="49"/>
      <c r="H438" s="49"/>
    </row>
    <row r="439" spans="2:8" ht="21.05" customHeight="1">
      <c r="B439" s="49"/>
      <c r="C439" s="49"/>
      <c r="D439" s="49"/>
      <c r="E439" s="49"/>
      <c r="F439" s="49"/>
      <c r="G439" s="49"/>
      <c r="H439" s="49"/>
    </row>
    <row r="440" spans="2:8" ht="21.05" customHeight="1">
      <c r="B440" s="49"/>
      <c r="C440" s="49"/>
      <c r="D440" s="49"/>
      <c r="E440" s="49"/>
      <c r="F440" s="49"/>
      <c r="G440" s="49"/>
      <c r="H440" s="49"/>
    </row>
    <row r="441" spans="2:8" ht="21.05" customHeight="1">
      <c r="B441" s="49"/>
      <c r="C441" s="49"/>
      <c r="D441" s="49"/>
      <c r="E441" s="49"/>
      <c r="F441" s="49"/>
      <c r="G441" s="49"/>
      <c r="H441" s="49"/>
    </row>
    <row r="442" spans="2:8" ht="21.05" customHeight="1">
      <c r="B442" s="49"/>
      <c r="C442" s="49"/>
      <c r="D442" s="49"/>
      <c r="E442" s="49"/>
      <c r="F442" s="49"/>
      <c r="G442" s="49"/>
      <c r="H442" s="49"/>
    </row>
    <row r="443" spans="2:8" ht="21.05" customHeight="1">
      <c r="B443" s="49"/>
      <c r="C443" s="49"/>
      <c r="D443" s="49"/>
      <c r="E443" s="49"/>
      <c r="F443" s="49"/>
      <c r="G443" s="49"/>
      <c r="H443" s="49"/>
    </row>
    <row r="444" spans="2:8" ht="21.05" customHeight="1">
      <c r="B444" s="49"/>
      <c r="C444" s="49"/>
      <c r="D444" s="49"/>
      <c r="E444" s="49"/>
      <c r="F444" s="49"/>
      <c r="G444" s="49"/>
      <c r="H444" s="49"/>
    </row>
    <row r="445" spans="2:8" ht="21.05" customHeight="1">
      <c r="B445" s="49"/>
      <c r="C445" s="49"/>
      <c r="D445" s="49"/>
      <c r="E445" s="49"/>
      <c r="F445" s="49"/>
      <c r="G445" s="49"/>
      <c r="H445" s="49"/>
    </row>
    <row r="446" spans="2:8" ht="21.05" customHeight="1">
      <c r="B446" s="49"/>
      <c r="C446" s="49"/>
      <c r="D446" s="49"/>
      <c r="E446" s="49"/>
      <c r="F446" s="49"/>
      <c r="G446" s="49"/>
      <c r="H446" s="49"/>
    </row>
    <row r="447" spans="2:8" ht="21.05" customHeight="1">
      <c r="B447" s="49"/>
      <c r="C447" s="49"/>
      <c r="D447" s="49"/>
      <c r="E447" s="49"/>
      <c r="F447" s="49"/>
      <c r="G447" s="49"/>
      <c r="H447" s="49"/>
    </row>
    <row r="448" spans="2:8" ht="21.05" customHeight="1">
      <c r="B448" s="49"/>
      <c r="C448" s="49"/>
      <c r="D448" s="49"/>
      <c r="E448" s="49"/>
      <c r="F448" s="49"/>
      <c r="G448" s="49"/>
      <c r="H448" s="49"/>
    </row>
    <row r="449" spans="2:8" ht="21.05" customHeight="1">
      <c r="B449" s="49"/>
      <c r="C449" s="49"/>
      <c r="D449" s="49"/>
      <c r="E449" s="49"/>
      <c r="F449" s="49"/>
      <c r="G449" s="49"/>
      <c r="H449" s="49"/>
    </row>
    <row r="450" spans="2:8" ht="21.05" customHeight="1">
      <c r="B450" s="49"/>
      <c r="C450" s="49"/>
      <c r="D450" s="49"/>
      <c r="E450" s="49"/>
      <c r="F450" s="49"/>
      <c r="G450" s="49"/>
      <c r="H450" s="49"/>
    </row>
    <row r="451" spans="2:8" ht="21.05" customHeight="1">
      <c r="B451" s="49"/>
      <c r="C451" s="49"/>
      <c r="D451" s="49"/>
      <c r="E451" s="49"/>
      <c r="F451" s="49"/>
      <c r="G451" s="49"/>
      <c r="H451" s="49"/>
    </row>
    <row r="452" spans="2:8" ht="21.05" customHeight="1">
      <c r="B452" s="49"/>
      <c r="C452" s="49"/>
      <c r="D452" s="49"/>
      <c r="E452" s="49"/>
      <c r="F452" s="49"/>
      <c r="G452" s="49"/>
      <c r="H452" s="49"/>
    </row>
    <row r="453" spans="2:8" ht="21.05" customHeight="1">
      <c r="B453" s="49"/>
      <c r="C453" s="49"/>
      <c r="D453" s="49"/>
      <c r="E453" s="49"/>
      <c r="F453" s="49"/>
      <c r="G453" s="49"/>
      <c r="H453" s="49"/>
    </row>
    <row r="454" spans="2:8" ht="21.05" customHeight="1">
      <c r="B454" s="49"/>
      <c r="C454" s="49"/>
      <c r="D454" s="49"/>
      <c r="E454" s="49"/>
      <c r="F454" s="49"/>
      <c r="G454" s="49"/>
      <c r="H454" s="49"/>
    </row>
    <row r="455" spans="2:8" ht="21.05" customHeight="1">
      <c r="B455" s="49"/>
      <c r="C455" s="49"/>
      <c r="D455" s="49"/>
      <c r="E455" s="49"/>
      <c r="F455" s="49"/>
      <c r="G455" s="49"/>
      <c r="H455" s="49"/>
    </row>
    <row r="456" spans="2:8" ht="21.05" customHeight="1">
      <c r="B456" s="49"/>
      <c r="C456" s="49"/>
      <c r="D456" s="49"/>
      <c r="E456" s="49"/>
      <c r="F456" s="49"/>
      <c r="G456" s="49"/>
      <c r="H456" s="49"/>
    </row>
    <row r="457" spans="2:8" ht="21.05" customHeight="1">
      <c r="B457" s="49"/>
      <c r="C457" s="49"/>
      <c r="D457" s="49"/>
      <c r="E457" s="49"/>
      <c r="F457" s="49"/>
      <c r="G457" s="49"/>
      <c r="H457" s="49"/>
    </row>
    <row r="458" spans="2:8" ht="21.05" customHeight="1">
      <c r="B458" s="49"/>
      <c r="C458" s="49"/>
      <c r="D458" s="49"/>
      <c r="E458" s="49"/>
      <c r="F458" s="49"/>
      <c r="G458" s="49"/>
      <c r="H458" s="49"/>
    </row>
    <row r="459" spans="2:8" ht="21.05" customHeight="1">
      <c r="B459" s="49"/>
      <c r="C459" s="49"/>
      <c r="D459" s="49"/>
      <c r="E459" s="49"/>
      <c r="F459" s="49"/>
      <c r="G459" s="49"/>
      <c r="H459" s="49"/>
    </row>
    <row r="460" spans="2:8" ht="21.05" customHeight="1">
      <c r="B460" s="49"/>
      <c r="C460" s="49"/>
      <c r="D460" s="49"/>
      <c r="E460" s="49"/>
      <c r="F460" s="49"/>
      <c r="G460" s="49"/>
      <c r="H460" s="49"/>
    </row>
    <row r="461" spans="2:8" ht="21.05" customHeight="1">
      <c r="B461" s="49"/>
      <c r="C461" s="49"/>
      <c r="D461" s="49"/>
      <c r="E461" s="49"/>
      <c r="F461" s="49"/>
      <c r="G461" s="49"/>
      <c r="H461" s="49"/>
    </row>
    <row r="462" spans="2:8" ht="21.05" customHeight="1">
      <c r="B462" s="49"/>
      <c r="C462" s="49"/>
      <c r="D462" s="49"/>
      <c r="E462" s="49"/>
      <c r="F462" s="49"/>
      <c r="G462" s="49"/>
      <c r="H462" s="49"/>
    </row>
    <row r="463" spans="2:8" ht="21.05" customHeight="1">
      <c r="B463" s="49"/>
      <c r="C463" s="49"/>
      <c r="D463" s="49"/>
      <c r="E463" s="49"/>
      <c r="F463" s="49"/>
      <c r="G463" s="49"/>
      <c r="H463" s="49"/>
    </row>
    <row r="464" spans="2:8" ht="21.05" customHeight="1">
      <c r="B464" s="49"/>
      <c r="C464" s="49"/>
      <c r="D464" s="49"/>
      <c r="E464" s="49"/>
      <c r="F464" s="49"/>
      <c r="G464" s="49"/>
      <c r="H464" s="49"/>
    </row>
    <row r="465" spans="2:8" ht="21.05" customHeight="1">
      <c r="B465" s="49"/>
      <c r="C465" s="49"/>
      <c r="D465" s="49"/>
      <c r="E465" s="49"/>
      <c r="F465" s="49"/>
      <c r="G465" s="49"/>
      <c r="H465" s="49"/>
    </row>
    <row r="466" spans="2:8" ht="21.05" customHeight="1">
      <c r="B466" s="49"/>
      <c r="C466" s="49"/>
      <c r="D466" s="49"/>
      <c r="E466" s="49"/>
      <c r="F466" s="49"/>
      <c r="G466" s="49"/>
      <c r="H466" s="49"/>
    </row>
    <row r="467" spans="2:8" ht="21.05" customHeight="1">
      <c r="B467" s="49"/>
      <c r="C467" s="49"/>
      <c r="D467" s="49"/>
      <c r="E467" s="49"/>
      <c r="F467" s="49"/>
      <c r="G467" s="49"/>
      <c r="H467" s="49"/>
    </row>
    <row r="468" spans="2:8" ht="21.05" customHeight="1">
      <c r="B468" s="49"/>
      <c r="C468" s="49"/>
      <c r="D468" s="49"/>
      <c r="E468" s="49"/>
      <c r="F468" s="49"/>
      <c r="G468" s="49"/>
      <c r="H468" s="49"/>
    </row>
    <row r="469" spans="2:8" ht="21.05" customHeight="1">
      <c r="B469" s="49"/>
      <c r="C469" s="49"/>
      <c r="D469" s="49"/>
      <c r="E469" s="49"/>
      <c r="F469" s="49"/>
      <c r="G469" s="49"/>
      <c r="H469" s="49"/>
    </row>
    <row r="470" spans="2:8" ht="21.05" customHeight="1">
      <c r="B470" s="49"/>
      <c r="C470" s="49"/>
      <c r="D470" s="49"/>
      <c r="E470" s="49"/>
      <c r="F470" s="49"/>
      <c r="G470" s="49"/>
      <c r="H470" s="49"/>
    </row>
    <row r="471" spans="2:8" ht="21.05" customHeight="1">
      <c r="B471" s="49"/>
      <c r="C471" s="49"/>
      <c r="D471" s="49"/>
      <c r="E471" s="49"/>
      <c r="F471" s="49"/>
      <c r="G471" s="49"/>
      <c r="H471" s="49"/>
    </row>
    <row r="472" spans="2:8" ht="21.05" customHeight="1">
      <c r="B472" s="49"/>
      <c r="C472" s="49"/>
      <c r="D472" s="49"/>
      <c r="E472" s="49"/>
      <c r="F472" s="49"/>
      <c r="G472" s="49"/>
      <c r="H472" s="49"/>
    </row>
    <row r="473" spans="2:8" ht="21.05" customHeight="1">
      <c r="B473" s="49"/>
      <c r="C473" s="49"/>
      <c r="D473" s="49"/>
      <c r="E473" s="49"/>
      <c r="F473" s="49"/>
      <c r="G473" s="49"/>
      <c r="H473" s="49"/>
    </row>
    <row r="474" spans="2:8" ht="21.05" customHeight="1">
      <c r="B474" s="49"/>
      <c r="C474" s="49"/>
      <c r="D474" s="49"/>
      <c r="E474" s="49"/>
      <c r="F474" s="49"/>
      <c r="G474" s="49"/>
      <c r="H474" s="49"/>
    </row>
    <row r="475" spans="2:8" ht="21.05" customHeight="1">
      <c r="B475" s="49"/>
      <c r="C475" s="49"/>
      <c r="D475" s="49"/>
      <c r="E475" s="49"/>
      <c r="F475" s="49"/>
      <c r="G475" s="49"/>
      <c r="H475" s="49"/>
    </row>
    <row r="476" spans="2:8" ht="21.05" customHeight="1">
      <c r="B476" s="49"/>
      <c r="C476" s="49"/>
      <c r="D476" s="49"/>
      <c r="E476" s="49"/>
      <c r="F476" s="49"/>
      <c r="G476" s="49"/>
      <c r="H476" s="49"/>
    </row>
    <row r="477" spans="2:8" ht="21.05" customHeight="1">
      <c r="B477" s="49"/>
      <c r="C477" s="49"/>
      <c r="D477" s="49"/>
      <c r="E477" s="49"/>
      <c r="F477" s="49"/>
      <c r="G477" s="49"/>
      <c r="H477" s="49"/>
    </row>
    <row r="478" spans="2:8" ht="21.05" customHeight="1">
      <c r="B478" s="49"/>
      <c r="C478" s="49"/>
      <c r="D478" s="49"/>
      <c r="E478" s="49"/>
      <c r="F478" s="49"/>
      <c r="G478" s="49"/>
      <c r="H478" s="49"/>
    </row>
    <row r="479" spans="2:8" ht="21.05" customHeight="1">
      <c r="B479" s="49"/>
      <c r="C479" s="49"/>
      <c r="D479" s="49"/>
      <c r="E479" s="49"/>
      <c r="F479" s="49"/>
      <c r="G479" s="49"/>
      <c r="H479" s="49"/>
    </row>
    <row r="480" spans="2:8" ht="21.05" customHeight="1">
      <c r="B480" s="49"/>
      <c r="C480" s="49"/>
      <c r="D480" s="49"/>
      <c r="E480" s="49"/>
      <c r="F480" s="49"/>
      <c r="G480" s="49"/>
      <c r="H480" s="49"/>
    </row>
    <row r="481" spans="2:8" ht="21.05" customHeight="1">
      <c r="B481" s="49"/>
      <c r="C481" s="49"/>
      <c r="D481" s="49"/>
      <c r="E481" s="49"/>
      <c r="F481" s="49"/>
      <c r="G481" s="49"/>
      <c r="H481" s="49"/>
    </row>
    <row r="482" spans="2:8" ht="21.05" customHeight="1">
      <c r="B482" s="49"/>
      <c r="C482" s="49"/>
      <c r="D482" s="49"/>
      <c r="E482" s="49"/>
      <c r="F482" s="49"/>
      <c r="G482" s="49"/>
      <c r="H482" s="49"/>
    </row>
    <row r="483" spans="2:8" ht="21.05" customHeight="1">
      <c r="B483" s="49"/>
      <c r="C483" s="49"/>
      <c r="D483" s="49"/>
      <c r="E483" s="49"/>
      <c r="F483" s="49"/>
      <c r="G483" s="49"/>
      <c r="H483" s="49"/>
    </row>
    <row r="484" spans="2:8" ht="21.05" customHeight="1">
      <c r="B484" s="49"/>
      <c r="C484" s="49"/>
      <c r="D484" s="49"/>
      <c r="E484" s="49"/>
      <c r="F484" s="49"/>
      <c r="G484" s="49"/>
      <c r="H484" s="49"/>
    </row>
    <row r="485" spans="2:8" ht="21.05" customHeight="1">
      <c r="B485" s="49"/>
      <c r="C485" s="49"/>
      <c r="D485" s="49"/>
      <c r="E485" s="49"/>
      <c r="F485" s="49"/>
      <c r="G485" s="49"/>
      <c r="H485" s="49"/>
    </row>
    <row r="486" spans="2:8" ht="21.05" customHeight="1">
      <c r="B486" s="49"/>
      <c r="C486" s="49"/>
      <c r="D486" s="49"/>
      <c r="E486" s="49"/>
      <c r="F486" s="49"/>
      <c r="G486" s="49"/>
      <c r="H486" s="49"/>
    </row>
    <row r="487" spans="2:8" ht="21.05" customHeight="1">
      <c r="B487" s="49"/>
      <c r="C487" s="49"/>
      <c r="D487" s="49"/>
      <c r="E487" s="49"/>
      <c r="F487" s="49"/>
      <c r="G487" s="49"/>
      <c r="H487" s="49"/>
    </row>
    <row r="488" spans="2:8" ht="21.05" customHeight="1">
      <c r="B488" s="49"/>
      <c r="C488" s="49"/>
      <c r="D488" s="49"/>
      <c r="E488" s="49"/>
      <c r="F488" s="49"/>
      <c r="G488" s="49"/>
      <c r="H488" s="49"/>
    </row>
    <row r="489" spans="2:8" ht="21.05" customHeight="1">
      <c r="B489" s="49"/>
      <c r="C489" s="49"/>
      <c r="D489" s="49"/>
      <c r="E489" s="49"/>
      <c r="F489" s="49"/>
      <c r="G489" s="49"/>
      <c r="H489" s="49"/>
    </row>
    <row r="490" spans="2:8" ht="21.05" customHeight="1">
      <c r="B490" s="49"/>
      <c r="C490" s="49"/>
      <c r="D490" s="49"/>
      <c r="E490" s="49"/>
      <c r="F490" s="49"/>
      <c r="G490" s="49"/>
      <c r="H490" s="49"/>
    </row>
    <row r="491" spans="2:8" ht="21.05" customHeight="1">
      <c r="B491" s="49"/>
      <c r="C491" s="49"/>
      <c r="D491" s="49"/>
      <c r="E491" s="49"/>
      <c r="F491" s="49"/>
      <c r="G491" s="49"/>
      <c r="H491" s="49"/>
    </row>
    <row r="492" spans="2:8" ht="21.05" customHeight="1">
      <c r="B492" s="49"/>
      <c r="C492" s="49"/>
      <c r="D492" s="49"/>
      <c r="E492" s="49"/>
      <c r="F492" s="49"/>
      <c r="G492" s="49"/>
      <c r="H492" s="49"/>
    </row>
    <row r="493" spans="2:8" ht="21.05" customHeight="1">
      <c r="B493" s="49"/>
      <c r="C493" s="49"/>
      <c r="D493" s="49"/>
      <c r="E493" s="49"/>
      <c r="F493" s="49"/>
      <c r="G493" s="49"/>
      <c r="H493" s="49"/>
    </row>
    <row r="494" spans="2:8" ht="21.05" customHeight="1">
      <c r="B494" s="49"/>
      <c r="C494" s="49"/>
      <c r="D494" s="49"/>
      <c r="E494" s="49"/>
      <c r="F494" s="49"/>
      <c r="G494" s="49"/>
      <c r="H494" s="49"/>
    </row>
    <row r="495" spans="2:8" ht="21.05" customHeight="1">
      <c r="B495" s="49"/>
      <c r="C495" s="49"/>
      <c r="D495" s="49"/>
      <c r="E495" s="49"/>
      <c r="F495" s="49"/>
      <c r="G495" s="49"/>
      <c r="H495" s="49"/>
    </row>
    <row r="496" spans="2:8" ht="21.05" customHeight="1">
      <c r="B496" s="49"/>
      <c r="C496" s="49"/>
      <c r="D496" s="49"/>
      <c r="E496" s="49"/>
      <c r="F496" s="49"/>
      <c r="G496" s="49"/>
      <c r="H496" s="49"/>
    </row>
    <row r="497" spans="2:8" ht="21.05" customHeight="1">
      <c r="B497" s="49"/>
      <c r="C497" s="49"/>
      <c r="D497" s="49"/>
      <c r="E497" s="49"/>
      <c r="F497" s="49"/>
      <c r="G497" s="49"/>
      <c r="H497" s="49"/>
    </row>
    <row r="498" spans="2:8" ht="21.05" customHeight="1">
      <c r="B498" s="49"/>
      <c r="C498" s="49"/>
      <c r="D498" s="49"/>
      <c r="E498" s="49"/>
      <c r="F498" s="49"/>
      <c r="G498" s="49"/>
      <c r="H498" s="49"/>
    </row>
    <row r="499" spans="2:8" ht="21.05" customHeight="1">
      <c r="B499" s="49"/>
      <c r="C499" s="49"/>
      <c r="D499" s="49"/>
      <c r="E499" s="49"/>
      <c r="F499" s="49"/>
      <c r="G499" s="49"/>
      <c r="H499" s="49"/>
    </row>
    <row r="500" spans="2:8" ht="21.05" customHeight="1">
      <c r="B500" s="49"/>
      <c r="C500" s="49"/>
      <c r="D500" s="49"/>
      <c r="E500" s="49"/>
      <c r="F500" s="49"/>
      <c r="G500" s="49"/>
      <c r="H500" s="49"/>
    </row>
    <row r="501" spans="2:8" ht="21.05" customHeight="1">
      <c r="B501" s="49"/>
      <c r="C501" s="49"/>
      <c r="D501" s="49"/>
      <c r="E501" s="49"/>
      <c r="F501" s="49"/>
      <c r="G501" s="49"/>
      <c r="H501" s="49"/>
    </row>
    <row r="502" spans="2:8" ht="21.05" customHeight="1">
      <c r="B502" s="49"/>
      <c r="C502" s="49"/>
      <c r="D502" s="49"/>
      <c r="E502" s="49"/>
      <c r="F502" s="49"/>
      <c r="G502" s="49"/>
      <c r="H502" s="49"/>
    </row>
    <row r="503" spans="2:8" ht="21.05" customHeight="1">
      <c r="B503" s="49"/>
      <c r="C503" s="49"/>
      <c r="D503" s="49"/>
      <c r="E503" s="49"/>
      <c r="F503" s="49"/>
      <c r="G503" s="49"/>
      <c r="H503" s="49"/>
    </row>
    <row r="504" spans="2:8" ht="21.05" customHeight="1">
      <c r="B504" s="49"/>
      <c r="C504" s="49"/>
      <c r="D504" s="49"/>
      <c r="E504" s="49"/>
      <c r="F504" s="49"/>
      <c r="G504" s="49"/>
      <c r="H504" s="49"/>
    </row>
    <row r="505" spans="2:8" ht="21.05" customHeight="1">
      <c r="B505" s="49"/>
      <c r="C505" s="49"/>
      <c r="D505" s="49"/>
      <c r="E505" s="49"/>
      <c r="F505" s="49"/>
      <c r="G505" s="49"/>
      <c r="H505" s="49"/>
    </row>
    <row r="506" spans="2:8" ht="21.05" customHeight="1">
      <c r="B506" s="49"/>
      <c r="C506" s="49"/>
      <c r="D506" s="49"/>
      <c r="E506" s="49"/>
      <c r="F506" s="49"/>
      <c r="G506" s="49"/>
      <c r="H506" s="49"/>
    </row>
    <row r="507" spans="2:8" ht="21.05" customHeight="1">
      <c r="B507" s="49"/>
      <c r="C507" s="49"/>
      <c r="D507" s="49"/>
      <c r="E507" s="49"/>
      <c r="F507" s="49"/>
      <c r="G507" s="49"/>
      <c r="H507" s="49"/>
    </row>
    <row r="508" spans="2:8" ht="21.05" customHeight="1">
      <c r="B508" s="49"/>
      <c r="C508" s="49"/>
      <c r="D508" s="49"/>
      <c r="E508" s="49"/>
      <c r="F508" s="49"/>
      <c r="G508" s="49"/>
      <c r="H508" s="49"/>
    </row>
    <row r="509" spans="2:8" ht="21.05" customHeight="1">
      <c r="B509" s="49"/>
      <c r="C509" s="49"/>
      <c r="D509" s="49"/>
      <c r="E509" s="49"/>
      <c r="F509" s="49"/>
      <c r="G509" s="49"/>
      <c r="H509" s="49"/>
    </row>
    <row r="510" spans="2:8" ht="21.05" customHeight="1">
      <c r="B510" s="49"/>
      <c r="C510" s="49"/>
      <c r="D510" s="49"/>
      <c r="E510" s="49"/>
      <c r="F510" s="49"/>
      <c r="G510" s="49"/>
      <c r="H510" s="49"/>
    </row>
    <row r="511" spans="2:8" ht="21.05" customHeight="1">
      <c r="B511" s="49"/>
      <c r="C511" s="49"/>
      <c r="D511" s="49"/>
      <c r="E511" s="49"/>
      <c r="F511" s="49"/>
      <c r="G511" s="49"/>
      <c r="H511" s="49"/>
    </row>
    <row r="512" spans="2:8" ht="21.05" customHeight="1">
      <c r="B512" s="49"/>
      <c r="C512" s="49"/>
      <c r="D512" s="49"/>
      <c r="E512" s="49"/>
      <c r="F512" s="49"/>
      <c r="G512" s="49"/>
      <c r="H512" s="49"/>
    </row>
    <row r="513" spans="2:8" ht="21.05" customHeight="1">
      <c r="B513" s="49"/>
      <c r="C513" s="49"/>
      <c r="D513" s="49"/>
      <c r="E513" s="49"/>
      <c r="F513" s="49"/>
      <c r="G513" s="49"/>
      <c r="H513" s="49"/>
    </row>
    <row r="514" spans="2:8" ht="21.05" customHeight="1">
      <c r="B514" s="49"/>
      <c r="C514" s="49"/>
      <c r="D514" s="49"/>
      <c r="E514" s="49"/>
      <c r="F514" s="49"/>
      <c r="G514" s="49"/>
      <c r="H514" s="49"/>
    </row>
    <row r="515" spans="2:8" ht="21.05" customHeight="1">
      <c r="B515" s="49"/>
      <c r="C515" s="49"/>
      <c r="D515" s="49"/>
      <c r="E515" s="49"/>
      <c r="F515" s="49"/>
      <c r="G515" s="49"/>
      <c r="H515" s="49"/>
    </row>
    <row r="516" spans="2:8" ht="21.05" customHeight="1">
      <c r="B516" s="49"/>
      <c r="C516" s="49"/>
      <c r="D516" s="49"/>
      <c r="E516" s="49"/>
      <c r="F516" s="49"/>
      <c r="G516" s="49"/>
      <c r="H516" s="49"/>
    </row>
    <row r="517" spans="2:8" ht="21.05" customHeight="1">
      <c r="B517" s="49"/>
      <c r="C517" s="49"/>
      <c r="D517" s="49"/>
      <c r="E517" s="49"/>
      <c r="F517" s="49"/>
      <c r="G517" s="49"/>
      <c r="H517" s="49"/>
    </row>
    <row r="518" spans="2:8" ht="21.05" customHeight="1">
      <c r="B518" s="49"/>
      <c r="C518" s="49"/>
      <c r="D518" s="49"/>
      <c r="E518" s="49"/>
      <c r="F518" s="49"/>
      <c r="G518" s="49"/>
      <c r="H518" s="49"/>
    </row>
    <row r="519" spans="2:8" ht="21.05" customHeight="1">
      <c r="B519" s="49"/>
      <c r="C519" s="49"/>
      <c r="D519" s="49"/>
      <c r="E519" s="49"/>
      <c r="F519" s="49"/>
      <c r="G519" s="49"/>
      <c r="H519" s="49"/>
    </row>
    <row r="520" spans="2:8" ht="21.05" customHeight="1">
      <c r="B520" s="49"/>
      <c r="C520" s="49"/>
      <c r="D520" s="49"/>
      <c r="E520" s="49"/>
      <c r="F520" s="49"/>
      <c r="G520" s="49"/>
      <c r="H520" s="49"/>
    </row>
    <row r="521" spans="2:8" ht="21.05" customHeight="1">
      <c r="B521" s="49"/>
      <c r="C521" s="49"/>
      <c r="D521" s="49"/>
      <c r="E521" s="49"/>
      <c r="F521" s="49"/>
      <c r="G521" s="49"/>
      <c r="H521" s="49"/>
    </row>
    <row r="522" spans="2:8" ht="21.05" customHeight="1">
      <c r="B522" s="49"/>
      <c r="C522" s="49"/>
      <c r="D522" s="49"/>
      <c r="E522" s="49"/>
      <c r="F522" s="49"/>
      <c r="G522" s="49"/>
      <c r="H522" s="49"/>
    </row>
    <row r="523" spans="2:8" ht="21.05" customHeight="1">
      <c r="B523" s="49"/>
      <c r="C523" s="49"/>
      <c r="D523" s="49"/>
      <c r="E523" s="49"/>
      <c r="F523" s="49"/>
      <c r="G523" s="49"/>
      <c r="H523" s="49"/>
    </row>
    <row r="524" spans="2:8" ht="21.05" customHeight="1">
      <c r="B524" s="49"/>
      <c r="C524" s="49"/>
      <c r="D524" s="49"/>
      <c r="E524" s="49"/>
      <c r="F524" s="49"/>
      <c r="G524" s="49"/>
      <c r="H524" s="49"/>
    </row>
    <row r="525" spans="2:8" ht="21.05" customHeight="1">
      <c r="B525" s="49"/>
      <c r="C525" s="49"/>
      <c r="D525" s="49"/>
      <c r="E525" s="49"/>
      <c r="F525" s="49"/>
      <c r="G525" s="49"/>
      <c r="H525" s="49"/>
    </row>
    <row r="526" spans="2:8" ht="21.05" customHeight="1">
      <c r="B526" s="49"/>
      <c r="C526" s="49"/>
      <c r="D526" s="49"/>
      <c r="E526" s="49"/>
      <c r="F526" s="49"/>
      <c r="G526" s="49"/>
      <c r="H526" s="49"/>
    </row>
    <row r="527" spans="2:8" ht="21.05" customHeight="1">
      <c r="B527" s="49"/>
      <c r="C527" s="49"/>
      <c r="D527" s="49"/>
      <c r="E527" s="49"/>
      <c r="F527" s="49"/>
      <c r="G527" s="49"/>
      <c r="H527" s="49"/>
    </row>
    <row r="528" spans="2:8" ht="21.05" customHeight="1">
      <c r="B528" s="49"/>
      <c r="C528" s="49"/>
      <c r="D528" s="49"/>
      <c r="E528" s="49"/>
      <c r="F528" s="49"/>
      <c r="G528" s="49"/>
      <c r="H528" s="49"/>
    </row>
    <row r="529" spans="2:8" ht="21.05" customHeight="1">
      <c r="B529" s="49"/>
      <c r="C529" s="49"/>
      <c r="D529" s="49"/>
      <c r="E529" s="49"/>
      <c r="F529" s="49"/>
      <c r="G529" s="49"/>
      <c r="H529" s="49"/>
    </row>
    <row r="530" spans="2:8" ht="21.05" customHeight="1">
      <c r="B530" s="49"/>
      <c r="C530" s="49"/>
      <c r="D530" s="49"/>
      <c r="E530" s="49"/>
      <c r="F530" s="49"/>
      <c r="G530" s="49"/>
      <c r="H530" s="49"/>
    </row>
    <row r="531" spans="2:8" ht="21.05" customHeight="1">
      <c r="B531" s="49"/>
      <c r="C531" s="49"/>
      <c r="D531" s="49"/>
      <c r="E531" s="49"/>
      <c r="F531" s="49"/>
      <c r="G531" s="49"/>
      <c r="H531" s="49"/>
    </row>
    <row r="532" spans="2:8" ht="21.05" customHeight="1">
      <c r="B532" s="49"/>
      <c r="C532" s="49"/>
      <c r="D532" s="49"/>
      <c r="E532" s="49"/>
      <c r="F532" s="49"/>
      <c r="G532" s="49"/>
      <c r="H532" s="49"/>
    </row>
    <row r="533" spans="2:8" ht="21.05" customHeight="1">
      <c r="B533" s="49"/>
      <c r="C533" s="49"/>
      <c r="D533" s="49"/>
      <c r="E533" s="49"/>
      <c r="F533" s="49"/>
      <c r="G533" s="49"/>
      <c r="H533" s="49"/>
    </row>
    <row r="534" spans="2:8" ht="21.05" customHeight="1">
      <c r="B534" s="49"/>
      <c r="C534" s="49"/>
      <c r="D534" s="49"/>
      <c r="E534" s="49"/>
      <c r="F534" s="49"/>
      <c r="G534" s="49"/>
      <c r="H534" s="49"/>
    </row>
    <row r="535" spans="2:8" ht="21.05" customHeight="1">
      <c r="B535" s="49"/>
      <c r="C535" s="49"/>
      <c r="D535" s="49"/>
      <c r="E535" s="49"/>
      <c r="F535" s="49"/>
      <c r="G535" s="49"/>
      <c r="H535" s="49"/>
    </row>
    <row r="536" spans="2:8" ht="21.05" customHeight="1">
      <c r="B536" s="49"/>
      <c r="C536" s="49"/>
      <c r="D536" s="49"/>
      <c r="E536" s="49"/>
      <c r="F536" s="49"/>
      <c r="G536" s="49"/>
      <c r="H536" s="49"/>
    </row>
    <row r="537" spans="2:8" ht="21.05" customHeight="1">
      <c r="B537" s="49"/>
      <c r="C537" s="49"/>
      <c r="D537" s="49"/>
      <c r="E537" s="49"/>
      <c r="F537" s="49"/>
      <c r="G537" s="49"/>
      <c r="H537" s="49"/>
    </row>
    <row r="538" spans="2:8" ht="21.05" customHeight="1">
      <c r="B538" s="49"/>
      <c r="C538" s="49"/>
      <c r="D538" s="49"/>
      <c r="E538" s="49"/>
      <c r="F538" s="49"/>
      <c r="G538" s="49"/>
      <c r="H538" s="49"/>
    </row>
    <row r="539" spans="2:8" ht="21.05" customHeight="1">
      <c r="B539" s="49"/>
      <c r="C539" s="49"/>
      <c r="D539" s="49"/>
      <c r="E539" s="49"/>
      <c r="F539" s="49"/>
      <c r="G539" s="49"/>
      <c r="H539" s="49"/>
    </row>
    <row r="540" spans="2:8" ht="21.05" customHeight="1">
      <c r="B540" s="49"/>
      <c r="C540" s="49"/>
      <c r="D540" s="49"/>
      <c r="E540" s="49"/>
      <c r="F540" s="49"/>
      <c r="G540" s="49"/>
      <c r="H540" s="49"/>
    </row>
    <row r="541" spans="2:8" ht="21.05" customHeight="1">
      <c r="B541" s="49"/>
      <c r="C541" s="49"/>
      <c r="D541" s="49"/>
      <c r="E541" s="49"/>
      <c r="F541" s="49"/>
      <c r="G541" s="49"/>
      <c r="H541" s="49"/>
    </row>
    <row r="542" spans="2:8" ht="21.05" customHeight="1">
      <c r="B542" s="49"/>
      <c r="C542" s="49"/>
      <c r="D542" s="49"/>
      <c r="E542" s="49"/>
      <c r="F542" s="49"/>
      <c r="G542" s="49"/>
      <c r="H542" s="49"/>
    </row>
    <row r="543" spans="2:8" ht="21.05" customHeight="1">
      <c r="B543" s="49"/>
      <c r="C543" s="49"/>
      <c r="D543" s="49"/>
      <c r="E543" s="49"/>
      <c r="F543" s="49"/>
      <c r="G543" s="49"/>
      <c r="H543" s="49"/>
    </row>
    <row r="544" spans="2:8" ht="21.05" customHeight="1">
      <c r="B544" s="49"/>
      <c r="C544" s="49"/>
      <c r="D544" s="49"/>
      <c r="E544" s="49"/>
      <c r="F544" s="49"/>
      <c r="G544" s="49"/>
      <c r="H544" s="49"/>
    </row>
    <row r="545" spans="2:8" ht="21.05" customHeight="1">
      <c r="B545" s="49"/>
      <c r="C545" s="49"/>
      <c r="D545" s="49"/>
      <c r="E545" s="49"/>
      <c r="F545" s="49"/>
      <c r="G545" s="49"/>
      <c r="H545" s="49"/>
    </row>
    <row r="546" spans="2:8" ht="21.05" customHeight="1">
      <c r="B546" s="49"/>
      <c r="C546" s="49"/>
      <c r="D546" s="49"/>
      <c r="E546" s="49"/>
      <c r="F546" s="49"/>
      <c r="G546" s="49"/>
      <c r="H546" s="49"/>
    </row>
    <row r="547" spans="2:8" ht="21.05" customHeight="1">
      <c r="B547" s="49"/>
      <c r="C547" s="49"/>
      <c r="D547" s="49"/>
      <c r="E547" s="49"/>
      <c r="F547" s="49"/>
      <c r="G547" s="49"/>
      <c r="H547" s="49"/>
    </row>
    <row r="548" spans="2:8" ht="21.05" customHeight="1">
      <c r="B548" s="49"/>
      <c r="C548" s="49"/>
      <c r="D548" s="49"/>
      <c r="E548" s="49"/>
      <c r="F548" s="49"/>
      <c r="G548" s="49"/>
      <c r="H548" s="49"/>
    </row>
    <row r="549" spans="2:8" ht="21.05" customHeight="1">
      <c r="B549" s="49"/>
      <c r="C549" s="49"/>
      <c r="D549" s="49"/>
      <c r="E549" s="49"/>
      <c r="F549" s="49"/>
      <c r="G549" s="49"/>
      <c r="H549" s="49"/>
    </row>
    <row r="550" spans="2:8" ht="21.05" customHeight="1">
      <c r="B550" s="49"/>
      <c r="C550" s="49"/>
      <c r="D550" s="49"/>
      <c r="E550" s="49"/>
      <c r="F550" s="49"/>
      <c r="G550" s="49"/>
      <c r="H550" s="49"/>
    </row>
    <row r="551" spans="2:8" ht="21.05" customHeight="1">
      <c r="B551" s="49"/>
      <c r="C551" s="49"/>
      <c r="D551" s="49"/>
      <c r="E551" s="49"/>
      <c r="F551" s="49"/>
      <c r="G551" s="49"/>
      <c r="H551" s="49"/>
    </row>
    <row r="552" spans="2:8" ht="21.05" customHeight="1">
      <c r="B552" s="49"/>
      <c r="C552" s="49"/>
      <c r="D552" s="49"/>
      <c r="E552" s="49"/>
      <c r="F552" s="49"/>
      <c r="G552" s="49"/>
      <c r="H552" s="49"/>
    </row>
    <row r="553" spans="2:8" ht="21.05" customHeight="1">
      <c r="B553" s="49"/>
      <c r="C553" s="49"/>
      <c r="D553" s="49"/>
      <c r="E553" s="49"/>
      <c r="F553" s="49"/>
      <c r="G553" s="49"/>
      <c r="H553" s="49"/>
    </row>
    <row r="554" spans="2:8" ht="21.05" customHeight="1">
      <c r="B554" s="49"/>
      <c r="C554" s="49"/>
      <c r="D554" s="49"/>
      <c r="E554" s="49"/>
      <c r="F554" s="49"/>
      <c r="G554" s="49"/>
      <c r="H554" s="49"/>
    </row>
    <row r="555" spans="2:8" ht="21.05" customHeight="1">
      <c r="B555" s="49"/>
      <c r="C555" s="49"/>
      <c r="D555" s="49"/>
      <c r="E555" s="49"/>
      <c r="F555" s="49"/>
      <c r="G555" s="49"/>
      <c r="H555" s="49"/>
    </row>
    <row r="556" spans="2:8" ht="21.05" customHeight="1">
      <c r="B556" s="49"/>
      <c r="C556" s="49"/>
      <c r="D556" s="49"/>
      <c r="E556" s="49"/>
      <c r="F556" s="49"/>
      <c r="G556" s="49"/>
      <c r="H556" s="49"/>
    </row>
    <row r="557" spans="2:8" ht="21.05" customHeight="1">
      <c r="B557" s="49"/>
      <c r="C557" s="49"/>
      <c r="D557" s="49"/>
      <c r="E557" s="49"/>
      <c r="F557" s="49"/>
      <c r="G557" s="49"/>
      <c r="H557" s="49"/>
    </row>
    <row r="558" spans="2:8" ht="21.05" customHeight="1">
      <c r="B558" s="49"/>
      <c r="C558" s="49"/>
      <c r="D558" s="49"/>
      <c r="E558" s="49"/>
      <c r="F558" s="49"/>
      <c r="G558" s="49"/>
      <c r="H558" s="49"/>
    </row>
    <row r="559" spans="2:8" ht="21.05" customHeight="1">
      <c r="B559" s="49"/>
      <c r="C559" s="49"/>
      <c r="D559" s="49"/>
      <c r="E559" s="49"/>
      <c r="F559" s="49"/>
      <c r="G559" s="49"/>
      <c r="H559" s="49"/>
    </row>
    <row r="560" spans="2:8" ht="21.05" customHeight="1">
      <c r="B560" s="49"/>
      <c r="C560" s="49"/>
      <c r="D560" s="49"/>
      <c r="E560" s="49"/>
      <c r="F560" s="49"/>
      <c r="G560" s="49"/>
      <c r="H560" s="49"/>
    </row>
    <row r="561" spans="2:8" ht="21.05" customHeight="1">
      <c r="B561" s="49"/>
      <c r="C561" s="49"/>
      <c r="D561" s="49"/>
      <c r="E561" s="49"/>
      <c r="F561" s="49"/>
      <c r="G561" s="49"/>
      <c r="H561" s="49"/>
    </row>
    <row r="562" spans="2:8" ht="21.05" customHeight="1">
      <c r="B562" s="49"/>
      <c r="C562" s="49"/>
      <c r="D562" s="49"/>
      <c r="E562" s="49"/>
      <c r="F562" s="49"/>
      <c r="G562" s="49"/>
      <c r="H562" s="49"/>
    </row>
    <row r="563" spans="2:8" ht="21.05" customHeight="1">
      <c r="B563" s="49"/>
      <c r="C563" s="49"/>
      <c r="D563" s="49"/>
      <c r="E563" s="49"/>
      <c r="F563" s="49"/>
      <c r="G563" s="49"/>
      <c r="H563" s="49"/>
    </row>
    <row r="564" spans="2:8" ht="21.05" customHeight="1">
      <c r="B564" s="49"/>
      <c r="C564" s="49"/>
      <c r="D564" s="49"/>
      <c r="E564" s="49"/>
      <c r="F564" s="49"/>
      <c r="G564" s="49"/>
      <c r="H564" s="49"/>
    </row>
    <row r="565" spans="2:8" ht="21.05" customHeight="1">
      <c r="B565" s="49"/>
      <c r="C565" s="49"/>
      <c r="D565" s="49"/>
      <c r="E565" s="49"/>
      <c r="F565" s="49"/>
      <c r="G565" s="49"/>
      <c r="H565" s="49"/>
    </row>
    <row r="566" spans="2:8" ht="21.05" customHeight="1">
      <c r="B566" s="49"/>
      <c r="C566" s="49"/>
      <c r="D566" s="49"/>
      <c r="E566" s="49"/>
      <c r="F566" s="49"/>
      <c r="G566" s="49"/>
      <c r="H566" s="49"/>
    </row>
    <row r="567" spans="2:8" ht="21.05" customHeight="1">
      <c r="B567" s="49"/>
      <c r="C567" s="49"/>
      <c r="D567" s="49"/>
      <c r="E567" s="49"/>
      <c r="F567" s="49"/>
      <c r="G567" s="49"/>
      <c r="H567" s="49"/>
    </row>
    <row r="568" spans="2:8" ht="21.05" customHeight="1">
      <c r="B568" s="49"/>
      <c r="C568" s="49"/>
      <c r="D568" s="49"/>
      <c r="E568" s="49"/>
      <c r="F568" s="49"/>
      <c r="G568" s="49"/>
      <c r="H568" s="49"/>
    </row>
    <row r="569" spans="2:8" ht="21.05" customHeight="1">
      <c r="B569" s="49"/>
      <c r="C569" s="49"/>
      <c r="D569" s="49"/>
      <c r="E569" s="49"/>
      <c r="F569" s="49"/>
      <c r="G569" s="49"/>
      <c r="H569" s="49"/>
    </row>
    <row r="570" spans="2:8" ht="21.05" customHeight="1">
      <c r="B570" s="49"/>
      <c r="C570" s="49"/>
      <c r="D570" s="49"/>
      <c r="E570" s="49"/>
      <c r="F570" s="49"/>
      <c r="G570" s="49"/>
      <c r="H570" s="49"/>
    </row>
    <row r="571" spans="2:8" ht="21.05" customHeight="1">
      <c r="B571" s="49"/>
      <c r="C571" s="49"/>
      <c r="D571" s="49"/>
      <c r="E571" s="49"/>
      <c r="F571" s="49"/>
      <c r="G571" s="49"/>
      <c r="H571" s="49"/>
    </row>
    <row r="572" spans="2:8" ht="21.05" customHeight="1">
      <c r="B572" s="49"/>
      <c r="C572" s="49"/>
      <c r="D572" s="49"/>
      <c r="E572" s="49"/>
      <c r="F572" s="49"/>
      <c r="G572" s="49"/>
      <c r="H572" s="49"/>
    </row>
    <row r="573" spans="2:8" ht="21.05" customHeight="1">
      <c r="B573" s="49"/>
      <c r="C573" s="49"/>
      <c r="D573" s="49"/>
      <c r="E573" s="49"/>
      <c r="F573" s="49"/>
      <c r="G573" s="49"/>
      <c r="H573" s="49"/>
    </row>
    <row r="574" spans="2:8" ht="21.05" customHeight="1">
      <c r="B574" s="49"/>
      <c r="C574" s="49"/>
      <c r="D574" s="49"/>
      <c r="E574" s="49"/>
      <c r="F574" s="49"/>
      <c r="G574" s="49"/>
      <c r="H574" s="49"/>
    </row>
    <row r="575" spans="2:8" ht="21.05" customHeight="1">
      <c r="B575" s="49"/>
      <c r="C575" s="49"/>
      <c r="D575" s="49"/>
      <c r="E575" s="49"/>
      <c r="F575" s="49"/>
      <c r="G575" s="49"/>
      <c r="H575" s="49"/>
    </row>
    <row r="576" spans="2:8" ht="21.05" customHeight="1">
      <c r="B576" s="49"/>
      <c r="C576" s="49"/>
      <c r="D576" s="49"/>
      <c r="E576" s="49"/>
      <c r="F576" s="49"/>
      <c r="G576" s="49"/>
      <c r="H576" s="49"/>
    </row>
    <row r="577" spans="2:8" ht="21.05" customHeight="1">
      <c r="B577" s="49"/>
      <c r="C577" s="49"/>
      <c r="D577" s="49"/>
      <c r="E577" s="49"/>
      <c r="F577" s="49"/>
      <c r="G577" s="49"/>
      <c r="H577" s="49"/>
    </row>
    <row r="578" spans="2:8" ht="21.05" customHeight="1">
      <c r="B578" s="49"/>
      <c r="C578" s="49"/>
      <c r="D578" s="49"/>
      <c r="E578" s="49"/>
      <c r="F578" s="49"/>
      <c r="G578" s="49"/>
      <c r="H578" s="49"/>
    </row>
    <row r="579" spans="2:8" ht="21.05" customHeight="1">
      <c r="B579" s="49"/>
      <c r="C579" s="49"/>
      <c r="D579" s="49"/>
      <c r="E579" s="49"/>
      <c r="F579" s="49"/>
      <c r="G579" s="49"/>
      <c r="H579" s="49"/>
    </row>
    <row r="580" spans="2:8" ht="21.05" customHeight="1">
      <c r="B580" s="49"/>
      <c r="C580" s="49"/>
      <c r="D580" s="49"/>
      <c r="E580" s="49"/>
      <c r="F580" s="49"/>
      <c r="G580" s="49"/>
      <c r="H580" s="49"/>
    </row>
    <row r="581" spans="2:8" ht="21.05" customHeight="1">
      <c r="B581" s="49"/>
      <c r="C581" s="49"/>
      <c r="D581" s="49"/>
      <c r="E581" s="49"/>
      <c r="F581" s="49"/>
      <c r="G581" s="49"/>
      <c r="H581" s="49"/>
    </row>
    <row r="582" spans="2:8" ht="21.05" customHeight="1">
      <c r="B582" s="49"/>
      <c r="C582" s="49"/>
      <c r="D582" s="49"/>
      <c r="E582" s="49"/>
      <c r="F582" s="49"/>
      <c r="G582" s="49"/>
      <c r="H582" s="49"/>
    </row>
    <row r="583" spans="2:8" ht="21.05" customHeight="1">
      <c r="B583" s="49"/>
      <c r="C583" s="49"/>
      <c r="D583" s="49"/>
      <c r="E583" s="49"/>
      <c r="F583" s="49"/>
      <c r="G583" s="49"/>
      <c r="H583" s="49"/>
    </row>
    <row r="584" spans="2:8" ht="21.05" customHeight="1">
      <c r="B584" s="49"/>
      <c r="C584" s="49"/>
      <c r="D584" s="49"/>
      <c r="E584" s="49"/>
      <c r="F584" s="49"/>
      <c r="G584" s="49"/>
      <c r="H584" s="49"/>
    </row>
    <row r="585" spans="2:8" ht="21.05" customHeight="1">
      <c r="B585" s="49"/>
      <c r="C585" s="49"/>
      <c r="D585" s="49"/>
      <c r="E585" s="49"/>
      <c r="F585" s="49"/>
      <c r="G585" s="49"/>
      <c r="H585" s="49"/>
    </row>
    <row r="586" spans="2:8" ht="21.05" customHeight="1">
      <c r="B586" s="49"/>
      <c r="C586" s="49"/>
      <c r="D586" s="49"/>
      <c r="E586" s="49"/>
      <c r="F586" s="49"/>
      <c r="G586" s="49"/>
      <c r="H586" s="49"/>
    </row>
    <row r="587" spans="2:8" ht="21.05" customHeight="1">
      <c r="B587" s="49"/>
      <c r="C587" s="49"/>
      <c r="D587" s="49"/>
      <c r="E587" s="49"/>
      <c r="F587" s="49"/>
      <c r="G587" s="49"/>
      <c r="H587" s="49"/>
    </row>
    <row r="588" spans="2:8" ht="21.05" customHeight="1">
      <c r="B588" s="49"/>
      <c r="C588" s="49"/>
      <c r="D588" s="49"/>
      <c r="E588" s="49"/>
      <c r="F588" s="49"/>
      <c r="G588" s="49"/>
      <c r="H588" s="49"/>
    </row>
    <row r="589" spans="2:8" ht="21.05" customHeight="1">
      <c r="B589" s="49"/>
      <c r="C589" s="49"/>
      <c r="D589" s="49"/>
      <c r="E589" s="49"/>
      <c r="F589" s="49"/>
      <c r="G589" s="49"/>
      <c r="H589" s="49"/>
    </row>
    <row r="590" spans="2:8" ht="21.05" customHeight="1">
      <c r="B590" s="49"/>
      <c r="C590" s="49"/>
      <c r="D590" s="49"/>
      <c r="E590" s="49"/>
      <c r="F590" s="49"/>
      <c r="G590" s="49"/>
      <c r="H590" s="49"/>
    </row>
    <row r="591" spans="2:8" ht="21.05" customHeight="1">
      <c r="B591" s="49"/>
      <c r="C591" s="49"/>
      <c r="D591" s="49"/>
      <c r="E591" s="49"/>
      <c r="F591" s="49"/>
      <c r="G591" s="49"/>
      <c r="H591" s="49"/>
    </row>
    <row r="592" spans="2:8" ht="21.05" customHeight="1">
      <c r="B592" s="49"/>
      <c r="C592" s="49"/>
      <c r="D592" s="49"/>
      <c r="E592" s="49"/>
      <c r="F592" s="49"/>
      <c r="G592" s="49"/>
      <c r="H592" s="49"/>
    </row>
    <row r="593" spans="2:8" ht="21.05" customHeight="1">
      <c r="B593" s="49"/>
      <c r="C593" s="49"/>
      <c r="D593" s="49"/>
      <c r="E593" s="49"/>
      <c r="F593" s="49"/>
      <c r="G593" s="49"/>
      <c r="H593" s="49"/>
    </row>
    <row r="594" spans="2:8" ht="21.05" customHeight="1">
      <c r="B594" s="49"/>
      <c r="C594" s="49"/>
      <c r="D594" s="49"/>
      <c r="E594" s="49"/>
      <c r="F594" s="49"/>
      <c r="G594" s="49"/>
      <c r="H594" s="49"/>
    </row>
    <row r="595" spans="2:8" ht="21.05" customHeight="1">
      <c r="B595" s="49"/>
      <c r="C595" s="49"/>
      <c r="D595" s="49"/>
      <c r="E595" s="49"/>
      <c r="F595" s="49"/>
      <c r="G595" s="49"/>
      <c r="H595" s="49"/>
    </row>
    <row r="596" spans="2:8" ht="21.05" customHeight="1">
      <c r="B596" s="49"/>
      <c r="C596" s="49"/>
      <c r="D596" s="49"/>
      <c r="E596" s="49"/>
      <c r="F596" s="49"/>
      <c r="G596" s="49"/>
      <c r="H596" s="49"/>
    </row>
    <row r="597" spans="2:8" ht="21.05" customHeight="1">
      <c r="B597" s="49"/>
      <c r="C597" s="49"/>
      <c r="D597" s="49"/>
      <c r="E597" s="49"/>
      <c r="F597" s="49"/>
      <c r="G597" s="49"/>
      <c r="H597" s="49"/>
    </row>
    <row r="598" spans="2:8" ht="21.05" customHeight="1">
      <c r="B598" s="49"/>
      <c r="C598" s="49"/>
      <c r="D598" s="49"/>
      <c r="E598" s="49"/>
      <c r="F598" s="49"/>
      <c r="G598" s="49"/>
      <c r="H598" s="49"/>
    </row>
    <row r="599" spans="2:8" ht="21.05" customHeight="1">
      <c r="B599" s="49"/>
      <c r="C599" s="49"/>
      <c r="D599" s="49"/>
      <c r="E599" s="49"/>
      <c r="F599" s="49"/>
      <c r="G599" s="49"/>
      <c r="H599" s="49"/>
    </row>
    <row r="600" spans="2:8" ht="21.05" customHeight="1">
      <c r="B600" s="49"/>
      <c r="C600" s="49"/>
      <c r="D600" s="49"/>
      <c r="E600" s="49"/>
      <c r="F600" s="49"/>
      <c r="G600" s="49"/>
      <c r="H600" s="49"/>
    </row>
    <row r="601" spans="2:8" ht="21.05" customHeight="1">
      <c r="B601" s="49"/>
      <c r="C601" s="49"/>
      <c r="D601" s="49"/>
      <c r="E601" s="49"/>
      <c r="F601" s="49"/>
      <c r="G601" s="49"/>
      <c r="H601" s="49"/>
    </row>
    <row r="602" spans="2:8" ht="21.05" customHeight="1">
      <c r="B602" s="49"/>
      <c r="C602" s="49"/>
      <c r="D602" s="49"/>
      <c r="E602" s="49"/>
      <c r="F602" s="49"/>
      <c r="G602" s="49"/>
      <c r="H602" s="49"/>
    </row>
    <row r="603" spans="2:8" ht="21.05" customHeight="1">
      <c r="B603" s="49"/>
      <c r="C603" s="49"/>
      <c r="D603" s="49"/>
      <c r="E603" s="49"/>
      <c r="F603" s="49"/>
      <c r="G603" s="49"/>
      <c r="H603" s="49"/>
    </row>
    <row r="604" spans="2:8" ht="21.05" customHeight="1">
      <c r="B604" s="49"/>
      <c r="C604" s="49"/>
      <c r="D604" s="49"/>
      <c r="E604" s="49"/>
      <c r="F604" s="49"/>
      <c r="G604" s="49"/>
      <c r="H604" s="49"/>
    </row>
    <row r="605" spans="2:8" ht="21.05" customHeight="1">
      <c r="B605" s="49"/>
      <c r="C605" s="49"/>
      <c r="D605" s="49"/>
      <c r="E605" s="49"/>
      <c r="F605" s="49"/>
      <c r="G605" s="49"/>
      <c r="H605" s="49"/>
    </row>
    <row r="606" spans="2:8" ht="21.05" customHeight="1">
      <c r="B606" s="49"/>
      <c r="C606" s="49"/>
      <c r="D606" s="49"/>
      <c r="E606" s="49"/>
      <c r="F606" s="49"/>
      <c r="G606" s="49"/>
      <c r="H606" s="49"/>
    </row>
    <row r="607" spans="2:8" ht="21.05" customHeight="1">
      <c r="B607" s="49"/>
      <c r="C607" s="49"/>
      <c r="D607" s="49"/>
      <c r="E607" s="49"/>
      <c r="F607" s="49"/>
      <c r="G607" s="49"/>
      <c r="H607" s="49"/>
    </row>
    <row r="608" spans="2:8" ht="21.05" customHeight="1">
      <c r="B608" s="49"/>
      <c r="C608" s="49"/>
      <c r="D608" s="49"/>
      <c r="E608" s="49"/>
      <c r="F608" s="49"/>
      <c r="G608" s="49"/>
      <c r="H608" s="49"/>
    </row>
    <row r="609" spans="2:8" ht="21.05" customHeight="1">
      <c r="B609" s="49"/>
      <c r="C609" s="49"/>
      <c r="D609" s="49"/>
      <c r="E609" s="49"/>
      <c r="F609" s="49"/>
      <c r="G609" s="49"/>
      <c r="H609" s="49"/>
    </row>
    <row r="610" spans="2:8" ht="21.05" customHeight="1">
      <c r="B610" s="49"/>
      <c r="C610" s="49"/>
      <c r="D610" s="49"/>
      <c r="E610" s="49"/>
      <c r="F610" s="49"/>
      <c r="G610" s="49"/>
      <c r="H610" s="49"/>
    </row>
    <row r="611" spans="2:8" ht="21.05" customHeight="1">
      <c r="B611" s="49"/>
      <c r="C611" s="49"/>
      <c r="D611" s="49"/>
      <c r="E611" s="49"/>
      <c r="F611" s="49"/>
      <c r="G611" s="49"/>
      <c r="H611" s="49"/>
    </row>
    <row r="612" spans="2:8" ht="21.05" customHeight="1">
      <c r="B612" s="49"/>
      <c r="C612" s="49"/>
      <c r="D612" s="49"/>
      <c r="E612" s="49"/>
      <c r="F612" s="49"/>
      <c r="G612" s="49"/>
      <c r="H612" s="49"/>
    </row>
    <row r="613" spans="2:8" ht="21.05" customHeight="1">
      <c r="B613" s="49"/>
      <c r="C613" s="49"/>
      <c r="D613" s="49"/>
      <c r="E613" s="49"/>
      <c r="F613" s="49"/>
      <c r="G613" s="49"/>
      <c r="H613" s="49"/>
    </row>
    <row r="614" spans="2:8" ht="21.05" customHeight="1">
      <c r="B614" s="49"/>
      <c r="C614" s="49"/>
      <c r="D614" s="49"/>
      <c r="E614" s="49"/>
      <c r="F614" s="49"/>
      <c r="G614" s="49"/>
      <c r="H614" s="49"/>
    </row>
    <row r="615" spans="2:8" ht="21.05" customHeight="1">
      <c r="B615" s="49"/>
      <c r="C615" s="49"/>
      <c r="D615" s="49"/>
      <c r="E615" s="49"/>
      <c r="F615" s="49"/>
      <c r="G615" s="49"/>
      <c r="H615" s="49"/>
    </row>
    <row r="616" spans="2:8" ht="21.05" customHeight="1">
      <c r="B616" s="49"/>
      <c r="C616" s="49"/>
      <c r="D616" s="49"/>
      <c r="E616" s="49"/>
      <c r="F616" s="49"/>
      <c r="G616" s="49"/>
      <c r="H616" s="49"/>
    </row>
    <row r="617" spans="2:8" ht="21.05" customHeight="1">
      <c r="B617" s="49"/>
      <c r="C617" s="49"/>
      <c r="D617" s="49"/>
      <c r="E617" s="49"/>
      <c r="F617" s="49"/>
      <c r="G617" s="49"/>
      <c r="H617" s="49"/>
    </row>
    <row r="618" spans="2:8" ht="21.05" customHeight="1">
      <c r="B618" s="49"/>
      <c r="C618" s="49"/>
      <c r="D618" s="49"/>
      <c r="E618" s="49"/>
      <c r="F618" s="49"/>
      <c r="G618" s="49"/>
      <c r="H618" s="49"/>
    </row>
    <row r="619" spans="2:8" ht="21.05" customHeight="1">
      <c r="B619" s="49"/>
      <c r="C619" s="49"/>
      <c r="D619" s="49"/>
      <c r="E619" s="49"/>
      <c r="F619" s="49"/>
      <c r="G619" s="49"/>
      <c r="H619" s="49"/>
    </row>
    <row r="620" spans="2:8" ht="21.05" customHeight="1">
      <c r="B620" s="49"/>
      <c r="C620" s="49"/>
      <c r="D620" s="49"/>
      <c r="E620" s="49"/>
      <c r="F620" s="49"/>
      <c r="G620" s="49"/>
      <c r="H620" s="49"/>
    </row>
    <row r="621" spans="2:8" ht="21.05" customHeight="1">
      <c r="B621" s="49"/>
      <c r="C621" s="49"/>
      <c r="D621" s="49"/>
      <c r="E621" s="49"/>
      <c r="F621" s="49"/>
      <c r="G621" s="49"/>
      <c r="H621" s="49"/>
    </row>
    <row r="622" spans="2:8" ht="21.05" customHeight="1">
      <c r="B622" s="49"/>
      <c r="C622" s="49"/>
      <c r="D622" s="49"/>
      <c r="E622" s="49"/>
      <c r="F622" s="49"/>
      <c r="G622" s="49"/>
      <c r="H622" s="49"/>
    </row>
    <row r="623" spans="2:8" ht="21.05" customHeight="1">
      <c r="B623" s="49"/>
      <c r="C623" s="49"/>
      <c r="D623" s="49"/>
      <c r="E623" s="49"/>
      <c r="F623" s="49"/>
      <c r="G623" s="49"/>
      <c r="H623" s="49"/>
    </row>
    <row r="624" spans="2:8" ht="21.05" customHeight="1">
      <c r="B624" s="49"/>
      <c r="C624" s="49"/>
      <c r="D624" s="49"/>
      <c r="E624" s="49"/>
      <c r="F624" s="49"/>
      <c r="G624" s="49"/>
      <c r="H624" s="49"/>
    </row>
    <row r="625" spans="2:8" ht="21.05" customHeight="1">
      <c r="B625" s="49"/>
      <c r="C625" s="49"/>
      <c r="D625" s="49"/>
      <c r="E625" s="49"/>
      <c r="F625" s="49"/>
      <c r="G625" s="49"/>
      <c r="H625" s="49"/>
    </row>
    <row r="626" spans="2:8" ht="21.05" customHeight="1">
      <c r="B626" s="49"/>
      <c r="C626" s="49"/>
      <c r="D626" s="49"/>
      <c r="E626" s="49"/>
      <c r="F626" s="49"/>
      <c r="G626" s="49"/>
      <c r="H626" s="49"/>
    </row>
    <row r="627" spans="2:8" ht="21.05" customHeight="1">
      <c r="B627" s="49"/>
      <c r="C627" s="49"/>
      <c r="D627" s="49"/>
      <c r="E627" s="49"/>
      <c r="F627" s="49"/>
      <c r="G627" s="49"/>
      <c r="H627" s="49"/>
    </row>
    <row r="628" spans="2:8" ht="21.05" customHeight="1">
      <c r="B628" s="49"/>
      <c r="C628" s="49"/>
      <c r="D628" s="49"/>
      <c r="E628" s="49"/>
      <c r="F628" s="49"/>
      <c r="G628" s="49"/>
      <c r="H628" s="49"/>
    </row>
    <row r="629" spans="2:8" ht="21.05" customHeight="1">
      <c r="B629" s="49"/>
      <c r="C629" s="49"/>
      <c r="D629" s="49"/>
      <c r="E629" s="49"/>
      <c r="F629" s="49"/>
      <c r="G629" s="49"/>
      <c r="H629" s="49"/>
    </row>
    <row r="630" spans="2:8" ht="21.05" customHeight="1">
      <c r="B630" s="49"/>
      <c r="C630" s="49"/>
      <c r="D630" s="49"/>
      <c r="E630" s="49"/>
      <c r="F630" s="49"/>
      <c r="G630" s="49"/>
      <c r="H630" s="49"/>
    </row>
    <row r="631" spans="2:8" ht="21.05" customHeight="1">
      <c r="B631" s="49"/>
      <c r="C631" s="49"/>
      <c r="D631" s="49"/>
      <c r="E631" s="49"/>
      <c r="F631" s="49"/>
      <c r="G631" s="49"/>
      <c r="H631" s="49"/>
    </row>
    <row r="632" spans="2:8" ht="21.05" customHeight="1">
      <c r="B632" s="49"/>
      <c r="C632" s="49"/>
      <c r="D632" s="49"/>
      <c r="E632" s="49"/>
      <c r="F632" s="49"/>
      <c r="G632" s="49"/>
      <c r="H632" s="49"/>
    </row>
    <row r="633" spans="2:8" ht="21.05" customHeight="1">
      <c r="B633" s="49"/>
      <c r="C633" s="49"/>
      <c r="D633" s="49"/>
      <c r="E633" s="49"/>
      <c r="F633" s="49"/>
      <c r="G633" s="49"/>
      <c r="H633" s="49"/>
    </row>
    <row r="634" spans="2:8" ht="21.05" customHeight="1">
      <c r="B634" s="49"/>
      <c r="C634" s="49"/>
      <c r="D634" s="49"/>
      <c r="E634" s="49"/>
      <c r="F634" s="49"/>
      <c r="G634" s="49"/>
      <c r="H634" s="49"/>
    </row>
    <row r="635" spans="2:8" ht="21.05" customHeight="1">
      <c r="B635" s="49"/>
      <c r="C635" s="49"/>
      <c r="D635" s="49"/>
      <c r="E635" s="49"/>
      <c r="F635" s="49"/>
      <c r="G635" s="49"/>
      <c r="H635" s="49"/>
    </row>
    <row r="636" spans="2:8" ht="21.05" customHeight="1">
      <c r="B636" s="49"/>
      <c r="C636" s="49"/>
      <c r="D636" s="49"/>
      <c r="E636" s="49"/>
      <c r="F636" s="49"/>
      <c r="G636" s="49"/>
      <c r="H636" s="49"/>
    </row>
    <row r="637" spans="2:8" ht="21.05" customHeight="1">
      <c r="B637" s="49"/>
      <c r="C637" s="49"/>
      <c r="D637" s="49"/>
      <c r="E637" s="49"/>
      <c r="F637" s="49"/>
      <c r="G637" s="49"/>
      <c r="H637" s="49"/>
    </row>
    <row r="638" spans="2:8" ht="21.05" customHeight="1">
      <c r="B638" s="49"/>
      <c r="C638" s="49"/>
      <c r="D638" s="49"/>
      <c r="E638" s="49"/>
      <c r="F638" s="49"/>
      <c r="G638" s="49"/>
      <c r="H638" s="49"/>
    </row>
    <row r="639" spans="2:8" ht="21.05" customHeight="1">
      <c r="B639" s="49"/>
      <c r="C639" s="49"/>
      <c r="D639" s="49"/>
      <c r="E639" s="49"/>
      <c r="F639" s="49"/>
      <c r="G639" s="49"/>
      <c r="H639" s="49"/>
    </row>
    <row r="640" spans="2:8" ht="21.05" customHeight="1">
      <c r="B640" s="49"/>
      <c r="C640" s="49"/>
      <c r="D640" s="49"/>
      <c r="E640" s="49"/>
      <c r="F640" s="49"/>
      <c r="G640" s="49"/>
      <c r="H640" s="49"/>
    </row>
    <row r="641" spans="2:8" ht="21.05" customHeight="1">
      <c r="B641" s="49"/>
      <c r="C641" s="49"/>
      <c r="D641" s="49"/>
      <c r="E641" s="49"/>
      <c r="F641" s="49"/>
      <c r="G641" s="49"/>
      <c r="H641" s="49"/>
    </row>
    <row r="642" spans="2:8" ht="21.05" customHeight="1">
      <c r="B642" s="49"/>
      <c r="C642" s="49"/>
      <c r="D642" s="49"/>
      <c r="E642" s="49"/>
      <c r="F642" s="49"/>
      <c r="G642" s="49"/>
      <c r="H642" s="49"/>
    </row>
    <row r="643" spans="2:8" ht="21.05" customHeight="1">
      <c r="B643" s="49"/>
      <c r="C643" s="49"/>
      <c r="D643" s="49"/>
      <c r="E643" s="49"/>
      <c r="F643" s="49"/>
      <c r="G643" s="49"/>
      <c r="H643" s="49"/>
    </row>
    <row r="644" spans="2:8" ht="21.05" customHeight="1">
      <c r="B644" s="49"/>
      <c r="C644" s="49"/>
      <c r="D644" s="49"/>
      <c r="E644" s="49"/>
      <c r="F644" s="49"/>
      <c r="G644" s="49"/>
      <c r="H644" s="49"/>
    </row>
    <row r="645" spans="2:8" ht="21.05" customHeight="1">
      <c r="B645" s="49"/>
      <c r="C645" s="49"/>
      <c r="D645" s="49"/>
      <c r="E645" s="49"/>
      <c r="F645" s="49"/>
      <c r="G645" s="49"/>
      <c r="H645" s="49"/>
    </row>
    <row r="646" spans="2:8" ht="21.05" customHeight="1">
      <c r="B646" s="49"/>
      <c r="C646" s="49"/>
      <c r="D646" s="49"/>
      <c r="E646" s="49"/>
      <c r="F646" s="49"/>
      <c r="G646" s="49"/>
      <c r="H646" s="49"/>
    </row>
    <row r="647" spans="2:8" ht="21.05" customHeight="1">
      <c r="B647" s="49"/>
      <c r="C647" s="49"/>
      <c r="D647" s="49"/>
      <c r="E647" s="49"/>
      <c r="F647" s="49"/>
      <c r="G647" s="49"/>
      <c r="H647" s="49"/>
    </row>
    <row r="648" spans="2:8" ht="21.05" customHeight="1">
      <c r="B648" s="49"/>
      <c r="C648" s="49"/>
      <c r="D648" s="49"/>
      <c r="E648" s="49"/>
      <c r="F648" s="49"/>
      <c r="G648" s="49"/>
      <c r="H648" s="49"/>
    </row>
    <row r="649" spans="2:8" ht="21.05" customHeight="1">
      <c r="B649" s="49"/>
      <c r="C649" s="49"/>
      <c r="D649" s="49"/>
      <c r="E649" s="49"/>
      <c r="F649" s="49"/>
      <c r="G649" s="49"/>
      <c r="H649" s="49"/>
    </row>
    <row r="650" spans="2:8" ht="21.05" customHeight="1">
      <c r="B650" s="49"/>
      <c r="C650" s="49"/>
      <c r="D650" s="49"/>
      <c r="E650" s="49"/>
      <c r="F650" s="49"/>
      <c r="G650" s="49"/>
      <c r="H650" s="49"/>
    </row>
    <row r="651" spans="2:8" ht="21.05" customHeight="1">
      <c r="B651" s="49"/>
      <c r="C651" s="49"/>
      <c r="D651" s="49"/>
      <c r="E651" s="49"/>
      <c r="F651" s="49"/>
      <c r="G651" s="49"/>
      <c r="H651" s="49"/>
    </row>
    <row r="652" spans="2:8" ht="21.05" customHeight="1">
      <c r="B652" s="49"/>
      <c r="C652" s="49"/>
      <c r="D652" s="49"/>
      <c r="E652" s="49"/>
      <c r="F652" s="49"/>
      <c r="G652" s="49"/>
      <c r="H652" s="49"/>
    </row>
    <row r="653" spans="2:8" ht="21.05" customHeight="1">
      <c r="B653" s="49"/>
      <c r="C653" s="49"/>
      <c r="D653" s="49"/>
      <c r="E653" s="49"/>
      <c r="F653" s="49"/>
      <c r="G653" s="49"/>
      <c r="H653" s="49"/>
    </row>
    <row r="654" spans="2:8" ht="21.05" customHeight="1">
      <c r="B654" s="49"/>
      <c r="C654" s="49"/>
      <c r="D654" s="49"/>
      <c r="E654" s="49"/>
      <c r="F654" s="49"/>
      <c r="G654" s="49"/>
      <c r="H654" s="49"/>
    </row>
    <row r="655" spans="2:8" ht="21.05" customHeight="1">
      <c r="B655" s="49"/>
      <c r="C655" s="49"/>
      <c r="D655" s="49"/>
      <c r="E655" s="49"/>
      <c r="F655" s="49"/>
      <c r="G655" s="49"/>
      <c r="H655" s="49"/>
    </row>
    <row r="656" spans="2:8" ht="21.05" customHeight="1">
      <c r="B656" s="49"/>
      <c r="C656" s="49"/>
      <c r="D656" s="49"/>
      <c r="E656" s="49"/>
      <c r="F656" s="49"/>
      <c r="G656" s="49"/>
      <c r="H656" s="49"/>
    </row>
    <row r="657" spans="2:8" ht="21.05" customHeight="1">
      <c r="B657" s="49"/>
      <c r="C657" s="49"/>
      <c r="D657" s="49"/>
      <c r="E657" s="49"/>
      <c r="F657" s="49"/>
      <c r="G657" s="49"/>
      <c r="H657" s="49"/>
    </row>
    <row r="658" spans="2:8" ht="21.05" customHeight="1">
      <c r="B658" s="49"/>
      <c r="C658" s="49"/>
      <c r="D658" s="49"/>
      <c r="E658" s="49"/>
      <c r="F658" s="49"/>
      <c r="G658" s="49"/>
      <c r="H658" s="49"/>
    </row>
    <row r="659" spans="2:8" ht="21.05" customHeight="1">
      <c r="B659" s="49"/>
      <c r="C659" s="49"/>
      <c r="D659" s="49"/>
      <c r="E659" s="49"/>
      <c r="F659" s="49"/>
      <c r="G659" s="49"/>
      <c r="H659" s="49"/>
    </row>
    <row r="660" spans="2:8" ht="21.05" customHeight="1">
      <c r="B660" s="49"/>
      <c r="C660" s="49"/>
      <c r="D660" s="49"/>
      <c r="E660" s="49"/>
      <c r="F660" s="49"/>
      <c r="G660" s="49"/>
      <c r="H660" s="49"/>
    </row>
    <row r="661" spans="2:8" ht="21.05" customHeight="1">
      <c r="B661" s="49"/>
      <c r="C661" s="49"/>
      <c r="D661" s="49"/>
      <c r="E661" s="49"/>
      <c r="F661" s="49"/>
      <c r="G661" s="49"/>
      <c r="H661" s="49"/>
    </row>
    <row r="662" spans="2:8" ht="21.05" customHeight="1">
      <c r="B662" s="49"/>
      <c r="C662" s="49"/>
      <c r="D662" s="49"/>
      <c r="E662" s="49"/>
      <c r="F662" s="49"/>
      <c r="G662" s="49"/>
      <c r="H662" s="49"/>
    </row>
    <row r="663" spans="2:8" ht="21.05" customHeight="1">
      <c r="B663" s="49"/>
      <c r="C663" s="49"/>
      <c r="D663" s="49"/>
      <c r="E663" s="49"/>
      <c r="F663" s="49"/>
      <c r="G663" s="49"/>
      <c r="H663" s="49"/>
    </row>
    <row r="664" spans="2:8" ht="21.05" customHeight="1">
      <c r="B664" s="49"/>
      <c r="C664" s="49"/>
      <c r="D664" s="49"/>
      <c r="E664" s="49"/>
      <c r="F664" s="49"/>
      <c r="G664" s="49"/>
      <c r="H664" s="49"/>
    </row>
    <row r="665" spans="2:8" ht="21.05" customHeight="1">
      <c r="B665" s="49"/>
      <c r="C665" s="49"/>
      <c r="D665" s="49"/>
      <c r="E665" s="49"/>
      <c r="F665" s="49"/>
      <c r="G665" s="49"/>
      <c r="H665" s="49"/>
    </row>
    <row r="666" spans="2:8" ht="21.05" customHeight="1">
      <c r="B666" s="49"/>
      <c r="C666" s="49"/>
      <c r="D666" s="49"/>
      <c r="E666" s="49"/>
      <c r="F666" s="49"/>
      <c r="G666" s="49"/>
      <c r="H666" s="49"/>
    </row>
    <row r="667" spans="2:8" ht="21.05" customHeight="1">
      <c r="B667" s="49"/>
      <c r="C667" s="49"/>
      <c r="D667" s="49"/>
      <c r="E667" s="49"/>
      <c r="F667" s="49"/>
      <c r="G667" s="49"/>
      <c r="H667" s="49"/>
    </row>
    <row r="668" spans="2:8" ht="21.05" customHeight="1">
      <c r="B668" s="49"/>
      <c r="C668" s="49"/>
      <c r="D668" s="49"/>
      <c r="E668" s="49"/>
      <c r="F668" s="49"/>
      <c r="G668" s="49"/>
      <c r="H668" s="49"/>
    </row>
    <row r="669" spans="2:8" ht="21.05" customHeight="1">
      <c r="B669" s="49"/>
      <c r="C669" s="49"/>
      <c r="D669" s="49"/>
      <c r="E669" s="49"/>
      <c r="F669" s="49"/>
      <c r="G669" s="49"/>
      <c r="H669" s="49"/>
    </row>
    <row r="670" spans="2:8" ht="21.05" customHeight="1">
      <c r="B670" s="49"/>
      <c r="C670" s="49"/>
      <c r="D670" s="49"/>
      <c r="E670" s="49"/>
      <c r="F670" s="49"/>
      <c r="G670" s="49"/>
      <c r="H670" s="49"/>
    </row>
    <row r="671" spans="2:8" ht="21.05" customHeight="1">
      <c r="B671" s="49"/>
      <c r="C671" s="49"/>
      <c r="D671" s="49"/>
      <c r="E671" s="49"/>
      <c r="F671" s="49"/>
      <c r="G671" s="49"/>
      <c r="H671" s="49"/>
    </row>
    <row r="672" spans="2:8" ht="21.05" customHeight="1">
      <c r="B672" s="49"/>
      <c r="C672" s="49"/>
      <c r="D672" s="49"/>
      <c r="E672" s="49"/>
      <c r="F672" s="49"/>
      <c r="G672" s="49"/>
      <c r="H672" s="49"/>
    </row>
    <row r="673" spans="2:8" ht="21.05" customHeight="1">
      <c r="B673" s="49"/>
      <c r="C673" s="49"/>
      <c r="D673" s="49"/>
      <c r="E673" s="49"/>
      <c r="F673" s="49"/>
      <c r="G673" s="49"/>
      <c r="H673" s="49"/>
    </row>
    <row r="674" spans="2:8" ht="21.05" customHeight="1">
      <c r="B674" s="49"/>
      <c r="C674" s="49"/>
      <c r="D674" s="49"/>
      <c r="E674" s="49"/>
      <c r="F674" s="49"/>
      <c r="G674" s="49"/>
      <c r="H674" s="49"/>
    </row>
    <row r="675" spans="2:8" ht="21.05" customHeight="1">
      <c r="B675" s="49"/>
      <c r="C675" s="49"/>
      <c r="D675" s="49"/>
      <c r="E675" s="49"/>
      <c r="F675" s="49"/>
      <c r="G675" s="49"/>
      <c r="H675" s="49"/>
    </row>
    <row r="676" spans="2:8" ht="21.05" customHeight="1">
      <c r="B676" s="49"/>
      <c r="C676" s="49"/>
      <c r="D676" s="49"/>
      <c r="E676" s="49"/>
      <c r="F676" s="49"/>
      <c r="G676" s="49"/>
      <c r="H676" s="49"/>
    </row>
    <row r="677" spans="2:8" ht="21.05" customHeight="1">
      <c r="B677" s="49"/>
      <c r="C677" s="49"/>
      <c r="D677" s="49"/>
      <c r="E677" s="49"/>
      <c r="F677" s="49"/>
      <c r="G677" s="49"/>
      <c r="H677" s="49"/>
    </row>
    <row r="678" spans="2:8" ht="21.05" customHeight="1">
      <c r="B678" s="49"/>
      <c r="C678" s="49"/>
      <c r="D678" s="49"/>
      <c r="E678" s="49"/>
      <c r="F678" s="49"/>
      <c r="G678" s="49"/>
      <c r="H678" s="49"/>
    </row>
    <row r="679" spans="2:8" ht="21.05" customHeight="1">
      <c r="B679" s="49"/>
      <c r="C679" s="49"/>
      <c r="D679" s="49"/>
      <c r="E679" s="49"/>
      <c r="F679" s="49"/>
      <c r="G679" s="49"/>
      <c r="H679" s="49"/>
    </row>
    <row r="680" spans="2:8" ht="21.05" customHeight="1">
      <c r="B680" s="49"/>
      <c r="C680" s="49"/>
      <c r="D680" s="49"/>
      <c r="E680" s="49"/>
      <c r="F680" s="49"/>
      <c r="G680" s="49"/>
      <c r="H680" s="49"/>
    </row>
    <row r="681" spans="2:8" ht="21.05" customHeight="1">
      <c r="B681" s="49"/>
      <c r="C681" s="49"/>
      <c r="D681" s="49"/>
      <c r="E681" s="49"/>
      <c r="F681" s="49"/>
      <c r="G681" s="49"/>
      <c r="H681" s="49"/>
    </row>
    <row r="682" spans="2:8" ht="21.05" customHeight="1">
      <c r="B682" s="49"/>
      <c r="C682" s="49"/>
      <c r="D682" s="49"/>
      <c r="E682" s="49"/>
      <c r="F682" s="49"/>
      <c r="G682" s="49"/>
      <c r="H682" s="49"/>
    </row>
    <row r="683" spans="2:8" ht="21.05" customHeight="1">
      <c r="B683" s="49"/>
      <c r="C683" s="49"/>
      <c r="D683" s="49"/>
      <c r="E683" s="49"/>
      <c r="F683" s="49"/>
      <c r="G683" s="49"/>
      <c r="H683" s="49"/>
    </row>
    <row r="684" spans="2:8" ht="21.05" customHeight="1">
      <c r="B684" s="49"/>
      <c r="C684" s="49"/>
      <c r="D684" s="49"/>
      <c r="E684" s="49"/>
      <c r="F684" s="49"/>
      <c r="G684" s="49"/>
      <c r="H684" s="49"/>
    </row>
    <row r="685" spans="2:8" ht="21.05" customHeight="1">
      <c r="B685" s="49"/>
      <c r="C685" s="49"/>
      <c r="D685" s="49"/>
      <c r="E685" s="49"/>
      <c r="F685" s="49"/>
      <c r="G685" s="49"/>
      <c r="H685" s="49"/>
    </row>
    <row r="686" spans="2:8" ht="21.05" customHeight="1">
      <c r="B686" s="49"/>
      <c r="C686" s="49"/>
      <c r="D686" s="49"/>
      <c r="E686" s="49"/>
      <c r="F686" s="49"/>
      <c r="G686" s="49"/>
      <c r="H686" s="49"/>
    </row>
    <row r="687" spans="2:8" ht="21.05" customHeight="1">
      <c r="B687" s="49"/>
      <c r="C687" s="49"/>
      <c r="D687" s="49"/>
      <c r="E687" s="49"/>
      <c r="F687" s="49"/>
      <c r="G687" s="49"/>
      <c r="H687" s="49"/>
    </row>
    <row r="688" spans="2:8" ht="21.05" customHeight="1">
      <c r="B688" s="49"/>
      <c r="C688" s="49"/>
      <c r="D688" s="49"/>
      <c r="E688" s="49"/>
      <c r="F688" s="49"/>
      <c r="G688" s="49"/>
      <c r="H688" s="49"/>
    </row>
    <row r="689" spans="2:8" ht="21.05" customHeight="1">
      <c r="B689" s="49"/>
      <c r="C689" s="49"/>
      <c r="D689" s="49"/>
      <c r="E689" s="49"/>
      <c r="F689" s="49"/>
      <c r="G689" s="49"/>
      <c r="H689" s="49"/>
    </row>
    <row r="690" spans="2:8" ht="21.05" customHeight="1">
      <c r="B690" s="49"/>
      <c r="C690" s="49"/>
      <c r="D690" s="49"/>
      <c r="E690" s="49"/>
      <c r="F690" s="49"/>
      <c r="G690" s="49"/>
      <c r="H690" s="49"/>
    </row>
    <row r="691" spans="2:8" ht="21.05" customHeight="1">
      <c r="B691" s="49"/>
      <c r="C691" s="49"/>
      <c r="D691" s="49"/>
      <c r="E691" s="49"/>
      <c r="F691" s="49"/>
      <c r="G691" s="49"/>
      <c r="H691" s="49"/>
    </row>
    <row r="692" spans="2:8" ht="21.05" customHeight="1">
      <c r="B692" s="49"/>
      <c r="C692" s="49"/>
      <c r="D692" s="49"/>
      <c r="E692" s="49"/>
      <c r="F692" s="49"/>
      <c r="G692" s="49"/>
      <c r="H692" s="49"/>
    </row>
    <row r="693" spans="2:8" ht="21.05" customHeight="1">
      <c r="B693" s="49"/>
      <c r="C693" s="49"/>
      <c r="D693" s="49"/>
      <c r="E693" s="49"/>
      <c r="F693" s="49"/>
      <c r="G693" s="49"/>
      <c r="H693" s="49"/>
    </row>
    <row r="694" spans="2:8" ht="21.05" customHeight="1">
      <c r="B694" s="49"/>
      <c r="C694" s="49"/>
      <c r="D694" s="49"/>
      <c r="E694" s="49"/>
      <c r="F694" s="49"/>
      <c r="G694" s="49"/>
      <c r="H694" s="49"/>
    </row>
    <row r="695" spans="2:8" ht="21.05" customHeight="1">
      <c r="B695" s="49"/>
      <c r="C695" s="49"/>
      <c r="D695" s="49"/>
      <c r="E695" s="49"/>
      <c r="F695" s="49"/>
      <c r="G695" s="49"/>
      <c r="H695" s="49"/>
    </row>
    <row r="696" spans="2:8" ht="21.05" customHeight="1">
      <c r="B696" s="49"/>
      <c r="C696" s="49"/>
      <c r="D696" s="49"/>
      <c r="E696" s="49"/>
      <c r="F696" s="49"/>
      <c r="G696" s="49"/>
      <c r="H696" s="49"/>
    </row>
    <row r="697" spans="2:8" ht="21.05" customHeight="1">
      <c r="B697" s="49"/>
      <c r="C697" s="49"/>
      <c r="D697" s="49"/>
      <c r="E697" s="49"/>
      <c r="F697" s="49"/>
      <c r="G697" s="49"/>
      <c r="H697" s="49"/>
    </row>
    <row r="698" spans="2:8" ht="21.05" customHeight="1">
      <c r="B698" s="49"/>
      <c r="C698" s="49"/>
      <c r="D698" s="49"/>
      <c r="E698" s="49"/>
      <c r="F698" s="49"/>
      <c r="G698" s="49"/>
      <c r="H698" s="49"/>
    </row>
    <row r="699" spans="2:8" ht="21.05" customHeight="1">
      <c r="B699" s="49"/>
      <c r="C699" s="49"/>
      <c r="D699" s="49"/>
      <c r="E699" s="49"/>
      <c r="F699" s="49"/>
      <c r="G699" s="49"/>
      <c r="H699" s="49"/>
    </row>
    <row r="700" spans="2:8" ht="21.05" customHeight="1">
      <c r="B700" s="49"/>
      <c r="C700" s="49"/>
      <c r="D700" s="49"/>
      <c r="E700" s="49"/>
      <c r="F700" s="49"/>
      <c r="G700" s="49"/>
      <c r="H700" s="49"/>
    </row>
    <row r="701" spans="2:8" ht="21.05" customHeight="1">
      <c r="B701" s="49"/>
      <c r="C701" s="49"/>
      <c r="D701" s="49"/>
      <c r="E701" s="49"/>
      <c r="F701" s="49"/>
      <c r="G701" s="49"/>
      <c r="H701" s="49"/>
    </row>
    <row r="702" spans="2:8" ht="21.05" customHeight="1">
      <c r="B702" s="49"/>
      <c r="C702" s="49"/>
      <c r="D702" s="49"/>
      <c r="E702" s="49"/>
      <c r="F702" s="49"/>
      <c r="G702" s="49"/>
      <c r="H702" s="49"/>
    </row>
    <row r="703" spans="2:8" ht="21.05" customHeight="1">
      <c r="B703" s="49"/>
      <c r="C703" s="49"/>
      <c r="D703" s="49"/>
      <c r="E703" s="49"/>
      <c r="F703" s="49"/>
      <c r="G703" s="49"/>
      <c r="H703" s="49"/>
    </row>
    <row r="704" spans="2:8" ht="21.05" customHeight="1">
      <c r="B704" s="49"/>
      <c r="C704" s="49"/>
      <c r="D704" s="49"/>
      <c r="E704" s="49"/>
      <c r="F704" s="49"/>
      <c r="G704" s="49"/>
      <c r="H704" s="49"/>
    </row>
    <row r="705" spans="2:8" ht="21.05" customHeight="1">
      <c r="B705" s="49"/>
      <c r="C705" s="49"/>
      <c r="D705" s="49"/>
      <c r="E705" s="49"/>
      <c r="F705" s="49"/>
      <c r="G705" s="49"/>
      <c r="H705" s="49"/>
    </row>
    <row r="706" spans="2:8" ht="21.05" customHeight="1">
      <c r="B706" s="49"/>
      <c r="C706" s="49"/>
      <c r="D706" s="49"/>
      <c r="E706" s="49"/>
      <c r="F706" s="49"/>
      <c r="G706" s="49"/>
      <c r="H706" s="49"/>
    </row>
    <row r="707" spans="2:8" ht="21.05" customHeight="1">
      <c r="B707" s="49"/>
      <c r="C707" s="49"/>
      <c r="D707" s="49"/>
      <c r="E707" s="49"/>
      <c r="F707" s="49"/>
      <c r="G707" s="49"/>
      <c r="H707" s="49"/>
    </row>
    <row r="708" spans="2:8" ht="21.05" customHeight="1">
      <c r="B708" s="49"/>
      <c r="C708" s="49"/>
      <c r="D708" s="49"/>
      <c r="E708" s="49"/>
      <c r="F708" s="49"/>
      <c r="G708" s="49"/>
      <c r="H708" s="49"/>
    </row>
    <row r="709" spans="2:8" ht="21.05" customHeight="1">
      <c r="B709" s="49"/>
      <c r="C709" s="49"/>
      <c r="D709" s="49"/>
      <c r="E709" s="49"/>
      <c r="F709" s="49"/>
      <c r="G709" s="49"/>
      <c r="H709" s="49"/>
    </row>
    <row r="710" spans="2:8" ht="21.05" customHeight="1">
      <c r="B710" s="49"/>
      <c r="C710" s="49"/>
      <c r="D710" s="49"/>
      <c r="E710" s="49"/>
      <c r="F710" s="49"/>
      <c r="G710" s="49"/>
      <c r="H710" s="49"/>
    </row>
    <row r="711" spans="2:8" ht="21.05" customHeight="1">
      <c r="B711" s="49"/>
      <c r="C711" s="49"/>
      <c r="D711" s="49"/>
      <c r="E711" s="49"/>
      <c r="F711" s="49"/>
      <c r="G711" s="49"/>
      <c r="H711" s="49"/>
    </row>
    <row r="712" spans="2:8" ht="21.05" customHeight="1">
      <c r="B712" s="49"/>
      <c r="C712" s="49"/>
      <c r="D712" s="49"/>
      <c r="E712" s="49"/>
      <c r="F712" s="49"/>
      <c r="G712" s="49"/>
      <c r="H712" s="49"/>
    </row>
    <row r="713" spans="2:8" ht="21.05" customHeight="1">
      <c r="B713" s="49"/>
      <c r="C713" s="49"/>
      <c r="D713" s="49"/>
      <c r="E713" s="49"/>
      <c r="F713" s="49"/>
      <c r="G713" s="49"/>
      <c r="H713" s="49"/>
    </row>
    <row r="714" spans="2:8" ht="21.05" customHeight="1">
      <c r="B714" s="49"/>
      <c r="C714" s="49"/>
      <c r="D714" s="49"/>
      <c r="E714" s="49"/>
      <c r="F714" s="49"/>
      <c r="G714" s="49"/>
      <c r="H714" s="49"/>
    </row>
    <row r="715" spans="2:8" ht="21.05" customHeight="1">
      <c r="B715" s="49"/>
      <c r="C715" s="49"/>
      <c r="D715" s="49"/>
      <c r="E715" s="49"/>
      <c r="F715" s="49"/>
      <c r="G715" s="49"/>
      <c r="H715" s="49"/>
    </row>
    <row r="716" spans="2:8" ht="21.05" customHeight="1">
      <c r="B716" s="49"/>
      <c r="C716" s="49"/>
      <c r="D716" s="49"/>
      <c r="E716" s="49"/>
      <c r="F716" s="49"/>
      <c r="G716" s="49"/>
      <c r="H716" s="49"/>
    </row>
    <row r="717" spans="2:8" ht="21.05" customHeight="1">
      <c r="B717" s="49"/>
      <c r="C717" s="49"/>
      <c r="D717" s="49"/>
      <c r="E717" s="49"/>
      <c r="F717" s="49"/>
      <c r="G717" s="49"/>
      <c r="H717" s="49"/>
    </row>
    <row r="718" spans="2:8" ht="21.05" customHeight="1">
      <c r="B718" s="49"/>
      <c r="C718" s="49"/>
      <c r="D718" s="49"/>
      <c r="E718" s="49"/>
      <c r="F718" s="49"/>
      <c r="G718" s="49"/>
      <c r="H718" s="49"/>
    </row>
    <row r="719" spans="2:8" ht="21.05" customHeight="1">
      <c r="B719" s="49"/>
      <c r="C719" s="49"/>
      <c r="D719" s="49"/>
      <c r="E719" s="49"/>
      <c r="F719" s="49"/>
      <c r="G719" s="49"/>
      <c r="H719" s="49"/>
    </row>
    <row r="720" spans="2:8" ht="21.05" customHeight="1">
      <c r="B720" s="49"/>
      <c r="C720" s="49"/>
      <c r="D720" s="49"/>
      <c r="E720" s="49"/>
      <c r="F720" s="49"/>
      <c r="G720" s="49"/>
      <c r="H720" s="49"/>
    </row>
    <row r="721" spans="2:8" ht="21.05" customHeight="1">
      <c r="B721" s="49"/>
      <c r="C721" s="49"/>
      <c r="D721" s="49"/>
      <c r="E721" s="49"/>
      <c r="F721" s="49"/>
      <c r="G721" s="49"/>
      <c r="H721" s="49"/>
    </row>
    <row r="722" spans="2:8" ht="21.05" customHeight="1">
      <c r="B722" s="49"/>
      <c r="C722" s="49"/>
      <c r="D722" s="49"/>
      <c r="E722" s="49"/>
      <c r="F722" s="49"/>
      <c r="G722" s="49"/>
      <c r="H722" s="49"/>
    </row>
    <row r="723" spans="2:8" ht="21.05" customHeight="1">
      <c r="B723" s="49"/>
      <c r="C723" s="49"/>
      <c r="D723" s="49"/>
      <c r="E723" s="49"/>
      <c r="F723" s="49"/>
      <c r="G723" s="49"/>
      <c r="H723" s="49"/>
    </row>
    <row r="724" spans="2:8" ht="21.05" customHeight="1">
      <c r="B724" s="49"/>
      <c r="C724" s="49"/>
      <c r="D724" s="49"/>
      <c r="E724" s="49"/>
      <c r="F724" s="49"/>
      <c r="G724" s="49"/>
      <c r="H724" s="49"/>
    </row>
    <row r="725" spans="2:8" ht="21.05" customHeight="1">
      <c r="B725" s="49"/>
      <c r="C725" s="49"/>
      <c r="D725" s="49"/>
      <c r="E725" s="49"/>
      <c r="F725" s="49"/>
      <c r="G725" s="49"/>
      <c r="H725" s="49"/>
    </row>
    <row r="726" spans="2:8" ht="21.05" customHeight="1">
      <c r="B726" s="49"/>
      <c r="C726" s="49"/>
      <c r="D726" s="49"/>
      <c r="E726" s="49"/>
      <c r="F726" s="49"/>
      <c r="G726" s="49"/>
      <c r="H726" s="49"/>
    </row>
    <row r="727" spans="2:8" ht="21.05" customHeight="1">
      <c r="B727" s="49"/>
      <c r="C727" s="49"/>
      <c r="D727" s="49"/>
      <c r="E727" s="49"/>
      <c r="F727" s="49"/>
      <c r="G727" s="49"/>
      <c r="H727" s="49"/>
    </row>
    <row r="728" spans="2:8" ht="21.05" customHeight="1">
      <c r="B728" s="49"/>
      <c r="C728" s="49"/>
      <c r="D728" s="49"/>
      <c r="E728" s="49"/>
      <c r="F728" s="49"/>
      <c r="G728" s="49"/>
      <c r="H728" s="49"/>
    </row>
    <row r="729" spans="2:8" ht="21.05" customHeight="1">
      <c r="B729" s="49"/>
      <c r="C729" s="49"/>
      <c r="D729" s="49"/>
      <c r="E729" s="49"/>
      <c r="F729" s="49"/>
      <c r="G729" s="49"/>
      <c r="H729" s="49"/>
    </row>
    <row r="730" spans="2:8" ht="21.05" customHeight="1">
      <c r="B730" s="49"/>
      <c r="C730" s="49"/>
      <c r="D730" s="49"/>
      <c r="E730" s="49"/>
      <c r="F730" s="49"/>
      <c r="G730" s="49"/>
      <c r="H730" s="49"/>
    </row>
    <row r="731" spans="2:8" ht="21.05" customHeight="1">
      <c r="B731" s="49"/>
      <c r="C731" s="49"/>
      <c r="D731" s="49"/>
      <c r="E731" s="49"/>
      <c r="F731" s="49"/>
      <c r="G731" s="49"/>
      <c r="H731" s="49"/>
    </row>
    <row r="732" spans="2:8" ht="21.05" customHeight="1">
      <c r="B732" s="49"/>
      <c r="C732" s="49"/>
      <c r="D732" s="49"/>
      <c r="E732" s="49"/>
      <c r="F732" s="49"/>
      <c r="G732" s="49"/>
      <c r="H732" s="49"/>
    </row>
    <row r="733" spans="2:8" ht="21.05" customHeight="1">
      <c r="B733" s="49"/>
      <c r="C733" s="49"/>
      <c r="D733" s="49"/>
      <c r="E733" s="49"/>
      <c r="F733" s="49"/>
      <c r="G733" s="49"/>
      <c r="H733" s="49"/>
    </row>
    <row r="734" spans="2:8" ht="21.05" customHeight="1">
      <c r="B734" s="49"/>
      <c r="C734" s="49"/>
      <c r="D734" s="49"/>
      <c r="E734" s="49"/>
      <c r="F734" s="49"/>
      <c r="G734" s="49"/>
      <c r="H734" s="49"/>
    </row>
    <row r="735" spans="2:8" ht="21.05" customHeight="1">
      <c r="B735" s="49"/>
      <c r="C735" s="49"/>
      <c r="D735" s="49"/>
      <c r="E735" s="49"/>
      <c r="F735" s="49"/>
      <c r="G735" s="49"/>
      <c r="H735" s="49"/>
    </row>
    <row r="736" spans="2:8" ht="21.05" customHeight="1">
      <c r="B736" s="49"/>
      <c r="C736" s="49"/>
      <c r="D736" s="49"/>
      <c r="E736" s="49"/>
      <c r="F736" s="49"/>
      <c r="G736" s="49"/>
      <c r="H736" s="49"/>
    </row>
    <row r="737" spans="2:8" ht="21.05" customHeight="1">
      <c r="B737" s="49"/>
      <c r="C737" s="49"/>
      <c r="D737" s="49"/>
      <c r="E737" s="49"/>
      <c r="F737" s="49"/>
      <c r="G737" s="49"/>
      <c r="H737" s="49"/>
    </row>
    <row r="738" spans="2:8" ht="21.05" customHeight="1">
      <c r="B738" s="49"/>
      <c r="C738" s="49"/>
      <c r="D738" s="49"/>
      <c r="E738" s="49"/>
      <c r="F738" s="49"/>
      <c r="G738" s="49"/>
      <c r="H738" s="49"/>
    </row>
    <row r="739" spans="2:8" ht="21.05" customHeight="1">
      <c r="B739" s="49"/>
      <c r="C739" s="49"/>
      <c r="D739" s="49"/>
      <c r="E739" s="49"/>
      <c r="F739" s="49"/>
      <c r="G739" s="49"/>
      <c r="H739" s="49"/>
    </row>
    <row r="740" spans="2:8" ht="21.05" customHeight="1">
      <c r="B740" s="49"/>
      <c r="C740" s="49"/>
      <c r="D740" s="49"/>
      <c r="E740" s="49"/>
      <c r="F740" s="49"/>
      <c r="G740" s="49"/>
      <c r="H740" s="49"/>
    </row>
    <row r="741" spans="2:8" ht="21.05" customHeight="1">
      <c r="B741" s="49"/>
      <c r="C741" s="49"/>
      <c r="D741" s="49"/>
      <c r="E741" s="49"/>
      <c r="F741" s="49"/>
      <c r="G741" s="49"/>
      <c r="H741" s="49"/>
    </row>
    <row r="742" spans="2:8" ht="21.05" customHeight="1">
      <c r="B742" s="49"/>
      <c r="C742" s="49"/>
      <c r="D742" s="49"/>
      <c r="E742" s="49"/>
      <c r="F742" s="49"/>
      <c r="G742" s="49"/>
      <c r="H742" s="49"/>
    </row>
    <row r="743" spans="2:8" ht="21.05" customHeight="1">
      <c r="B743" s="49"/>
      <c r="C743" s="49"/>
      <c r="D743" s="49"/>
      <c r="E743" s="49"/>
      <c r="F743" s="49"/>
      <c r="G743" s="49"/>
      <c r="H743" s="49"/>
    </row>
    <row r="744" spans="2:8" ht="21.05" customHeight="1">
      <c r="B744" s="49"/>
      <c r="C744" s="49"/>
      <c r="D744" s="49"/>
      <c r="E744" s="49"/>
      <c r="F744" s="49"/>
      <c r="G744" s="49"/>
      <c r="H744" s="49"/>
    </row>
    <row r="745" spans="2:8" ht="21.05" customHeight="1">
      <c r="B745" s="49"/>
      <c r="C745" s="49"/>
      <c r="D745" s="49"/>
      <c r="E745" s="49"/>
      <c r="F745" s="49"/>
      <c r="G745" s="49"/>
      <c r="H745" s="49"/>
    </row>
    <row r="746" spans="2:8" ht="21.05" customHeight="1">
      <c r="B746" s="49"/>
      <c r="C746" s="49"/>
      <c r="D746" s="49"/>
      <c r="E746" s="49"/>
      <c r="F746" s="49"/>
      <c r="G746" s="49"/>
      <c r="H746" s="49"/>
    </row>
    <row r="747" spans="2:8" ht="21.05" customHeight="1">
      <c r="B747" s="49"/>
      <c r="C747" s="49"/>
      <c r="D747" s="49"/>
      <c r="E747" s="49"/>
      <c r="F747" s="49"/>
      <c r="G747" s="49"/>
      <c r="H747" s="49"/>
    </row>
    <row r="748" spans="2:8" ht="21.05" customHeight="1">
      <c r="B748" s="49"/>
      <c r="C748" s="49"/>
      <c r="D748" s="49"/>
      <c r="E748" s="49"/>
      <c r="F748" s="49"/>
      <c r="G748" s="49"/>
      <c r="H748" s="49"/>
    </row>
    <row r="749" spans="2:8" ht="21.05" customHeight="1">
      <c r="B749" s="49"/>
      <c r="C749" s="49"/>
      <c r="D749" s="49"/>
      <c r="E749" s="49"/>
      <c r="F749" s="49"/>
      <c r="G749" s="49"/>
      <c r="H749" s="49"/>
    </row>
    <row r="750" spans="2:8" ht="21.05" customHeight="1">
      <c r="B750" s="49"/>
      <c r="C750" s="49"/>
      <c r="D750" s="49"/>
      <c r="E750" s="49"/>
      <c r="F750" s="49"/>
      <c r="G750" s="49"/>
      <c r="H750" s="49"/>
    </row>
    <row r="751" spans="2:8" ht="21.05" customHeight="1">
      <c r="B751" s="49"/>
      <c r="C751" s="49"/>
      <c r="D751" s="49"/>
      <c r="E751" s="49"/>
      <c r="F751" s="49"/>
      <c r="G751" s="49"/>
      <c r="H751" s="49"/>
    </row>
    <row r="752" spans="2:8" ht="21.05" customHeight="1">
      <c r="B752" s="49"/>
      <c r="C752" s="49"/>
      <c r="D752" s="49"/>
      <c r="E752" s="49"/>
      <c r="F752" s="49"/>
      <c r="G752" s="49"/>
      <c r="H752" s="49"/>
    </row>
    <row r="753" spans="2:8" ht="21.05" customHeight="1">
      <c r="B753" s="49"/>
      <c r="C753" s="49"/>
      <c r="D753" s="49"/>
      <c r="E753" s="49"/>
      <c r="F753" s="49"/>
      <c r="G753" s="49"/>
      <c r="H753" s="49"/>
    </row>
    <row r="754" spans="2:8" ht="21.05" customHeight="1">
      <c r="B754" s="49"/>
      <c r="C754" s="49"/>
      <c r="D754" s="49"/>
      <c r="E754" s="49"/>
      <c r="F754" s="49"/>
      <c r="G754" s="49"/>
      <c r="H754" s="49"/>
    </row>
    <row r="755" spans="2:8" ht="21.05" customHeight="1">
      <c r="B755" s="49"/>
      <c r="C755" s="49"/>
      <c r="D755" s="49"/>
      <c r="E755" s="49"/>
      <c r="F755" s="49"/>
      <c r="G755" s="49"/>
      <c r="H755" s="49"/>
    </row>
    <row r="756" spans="2:8" ht="21.05" customHeight="1">
      <c r="B756" s="49"/>
      <c r="C756" s="49"/>
      <c r="D756" s="49"/>
      <c r="E756" s="49"/>
      <c r="F756" s="49"/>
      <c r="G756" s="49"/>
      <c r="H756" s="49"/>
    </row>
    <row r="757" spans="2:8" ht="21.05" customHeight="1">
      <c r="B757" s="49"/>
      <c r="C757" s="49"/>
      <c r="D757" s="49"/>
      <c r="E757" s="49"/>
      <c r="F757" s="49"/>
      <c r="G757" s="49"/>
      <c r="H757" s="49"/>
    </row>
    <row r="758" spans="2:8" ht="21.05" customHeight="1">
      <c r="B758" s="49"/>
      <c r="C758" s="49"/>
      <c r="D758" s="49"/>
      <c r="E758" s="49"/>
      <c r="F758" s="49"/>
      <c r="G758" s="49"/>
      <c r="H758" s="49"/>
    </row>
    <row r="759" spans="2:8" ht="21.05" customHeight="1">
      <c r="B759" s="49"/>
      <c r="C759" s="49"/>
      <c r="D759" s="49"/>
      <c r="E759" s="49"/>
      <c r="F759" s="49"/>
      <c r="G759" s="49"/>
      <c r="H759" s="49"/>
    </row>
    <row r="760" spans="2:8" ht="21.05" customHeight="1">
      <c r="B760" s="49"/>
      <c r="C760" s="49"/>
      <c r="D760" s="49"/>
      <c r="E760" s="49"/>
      <c r="F760" s="49"/>
      <c r="G760" s="49"/>
      <c r="H760" s="49"/>
    </row>
    <row r="761" spans="2:8" ht="21.05" customHeight="1">
      <c r="B761" s="49"/>
      <c r="C761" s="49"/>
      <c r="D761" s="49"/>
      <c r="E761" s="49"/>
      <c r="F761" s="49"/>
      <c r="G761" s="49"/>
      <c r="H761" s="49"/>
    </row>
    <row r="762" spans="2:8" ht="21.05" customHeight="1">
      <c r="B762" s="49"/>
      <c r="C762" s="49"/>
      <c r="D762" s="49"/>
      <c r="E762" s="49"/>
      <c r="F762" s="49"/>
      <c r="G762" s="49"/>
      <c r="H762" s="49"/>
    </row>
    <row r="763" spans="2:8" ht="21.05" customHeight="1">
      <c r="B763" s="49"/>
      <c r="C763" s="49"/>
      <c r="D763" s="49"/>
      <c r="E763" s="49"/>
      <c r="F763" s="49"/>
      <c r="G763" s="49"/>
      <c r="H763" s="49"/>
    </row>
    <row r="764" spans="2:8" ht="21.05" customHeight="1">
      <c r="B764" s="49"/>
      <c r="C764" s="49"/>
      <c r="D764" s="49"/>
      <c r="E764" s="49"/>
      <c r="F764" s="49"/>
      <c r="G764" s="49"/>
      <c r="H764" s="49"/>
    </row>
    <row r="765" spans="2:8" ht="21.05" customHeight="1">
      <c r="B765" s="49"/>
      <c r="C765" s="49"/>
      <c r="D765" s="49"/>
      <c r="E765" s="49"/>
      <c r="F765" s="49"/>
      <c r="G765" s="49"/>
      <c r="H765" s="49"/>
    </row>
    <row r="766" spans="2:8" ht="21.05" customHeight="1">
      <c r="B766" s="49"/>
      <c r="C766" s="49"/>
      <c r="D766" s="49"/>
      <c r="E766" s="49"/>
      <c r="F766" s="49"/>
      <c r="G766" s="49"/>
      <c r="H766" s="49"/>
    </row>
    <row r="767" spans="2:8" ht="21.05" customHeight="1">
      <c r="B767" s="49"/>
      <c r="C767" s="49"/>
      <c r="D767" s="49"/>
      <c r="E767" s="49"/>
      <c r="F767" s="49"/>
      <c r="G767" s="49"/>
      <c r="H767" s="49"/>
    </row>
    <row r="768" spans="2:8" ht="21.05" customHeight="1">
      <c r="B768" s="49"/>
      <c r="C768" s="49"/>
      <c r="D768" s="49"/>
      <c r="E768" s="49"/>
      <c r="F768" s="49"/>
      <c r="G768" s="49"/>
      <c r="H768" s="49"/>
    </row>
    <row r="769" spans="2:8" ht="21.05" customHeight="1">
      <c r="B769" s="49"/>
      <c r="C769" s="49"/>
      <c r="D769" s="49"/>
      <c r="E769" s="49"/>
      <c r="F769" s="49"/>
      <c r="G769" s="49"/>
      <c r="H769" s="49"/>
    </row>
    <row r="770" spans="2:8" ht="21.05" customHeight="1">
      <c r="B770" s="49"/>
      <c r="C770" s="49"/>
      <c r="D770" s="49"/>
      <c r="E770" s="49"/>
      <c r="F770" s="49"/>
      <c r="G770" s="49"/>
      <c r="H770" s="49"/>
    </row>
    <row r="771" spans="2:8" ht="21.05" customHeight="1">
      <c r="B771" s="49"/>
      <c r="C771" s="49"/>
      <c r="D771" s="49"/>
      <c r="E771" s="49"/>
      <c r="F771" s="49"/>
      <c r="G771" s="49"/>
      <c r="H771" s="49"/>
    </row>
    <row r="772" spans="2:8" ht="21.05" customHeight="1">
      <c r="B772" s="49"/>
      <c r="C772" s="49"/>
      <c r="D772" s="49"/>
      <c r="E772" s="49"/>
      <c r="F772" s="49"/>
      <c r="G772" s="49"/>
      <c r="H772" s="49"/>
    </row>
    <row r="773" spans="2:8" ht="21.05" customHeight="1">
      <c r="B773" s="49"/>
      <c r="C773" s="49"/>
      <c r="D773" s="49"/>
      <c r="E773" s="49"/>
      <c r="F773" s="49"/>
      <c r="G773" s="49"/>
      <c r="H773" s="49"/>
    </row>
    <row r="774" spans="2:8" ht="21.05" customHeight="1">
      <c r="B774" s="49"/>
      <c r="C774" s="49"/>
      <c r="D774" s="49"/>
      <c r="E774" s="49"/>
      <c r="F774" s="49"/>
      <c r="G774" s="49"/>
      <c r="H774" s="49"/>
    </row>
    <row r="775" spans="2:8" ht="21.05" customHeight="1">
      <c r="B775" s="49"/>
      <c r="C775" s="49"/>
      <c r="D775" s="49"/>
      <c r="E775" s="49"/>
      <c r="F775" s="49"/>
      <c r="G775" s="49"/>
      <c r="H775" s="49"/>
    </row>
    <row r="776" spans="2:8" ht="21.05" customHeight="1">
      <c r="B776" s="49"/>
      <c r="C776" s="49"/>
      <c r="D776" s="49"/>
      <c r="E776" s="49"/>
      <c r="F776" s="49"/>
      <c r="G776" s="49"/>
      <c r="H776" s="49"/>
    </row>
    <row r="777" spans="2:8" ht="21.05" customHeight="1">
      <c r="B777" s="49"/>
      <c r="C777" s="49"/>
      <c r="D777" s="49"/>
      <c r="E777" s="49"/>
      <c r="F777" s="49"/>
      <c r="G777" s="49"/>
      <c r="H777" s="49"/>
    </row>
    <row r="778" spans="2:8" ht="21.05" customHeight="1">
      <c r="B778" s="49"/>
      <c r="C778" s="49"/>
      <c r="D778" s="49"/>
      <c r="E778" s="49"/>
      <c r="F778" s="49"/>
      <c r="G778" s="49"/>
      <c r="H778" s="49"/>
    </row>
    <row r="779" spans="2:8" ht="21.05" customHeight="1">
      <c r="B779" s="49"/>
      <c r="C779" s="49"/>
      <c r="D779" s="49"/>
      <c r="E779" s="49"/>
      <c r="F779" s="49"/>
      <c r="G779" s="49"/>
      <c r="H779" s="49"/>
    </row>
    <row r="780" spans="2:8" ht="21.05" customHeight="1">
      <c r="B780" s="49"/>
      <c r="C780" s="49"/>
      <c r="D780" s="49"/>
      <c r="E780" s="49"/>
      <c r="F780" s="49"/>
      <c r="G780" s="49"/>
      <c r="H780" s="49"/>
    </row>
    <row r="781" spans="2:8" ht="21.05" customHeight="1">
      <c r="B781" s="49"/>
      <c r="C781" s="49"/>
      <c r="D781" s="49"/>
      <c r="E781" s="49"/>
      <c r="F781" s="49"/>
      <c r="G781" s="49"/>
      <c r="H781" s="49"/>
    </row>
    <row r="782" spans="2:8" ht="21.05" customHeight="1">
      <c r="B782" s="49"/>
      <c r="C782" s="49"/>
      <c r="D782" s="49"/>
      <c r="E782" s="49"/>
      <c r="F782" s="49"/>
      <c r="G782" s="49"/>
      <c r="H782" s="49"/>
    </row>
    <row r="783" spans="2:8" ht="21.05" customHeight="1">
      <c r="B783" s="49"/>
      <c r="C783" s="49"/>
      <c r="D783" s="49"/>
      <c r="E783" s="49"/>
      <c r="F783" s="49"/>
      <c r="G783" s="49"/>
      <c r="H783" s="49"/>
    </row>
    <row r="784" spans="2:8" ht="21.05" customHeight="1">
      <c r="B784" s="49"/>
      <c r="C784" s="49"/>
      <c r="D784" s="49"/>
      <c r="E784" s="49"/>
      <c r="F784" s="49"/>
      <c r="G784" s="49"/>
      <c r="H784" s="49"/>
    </row>
    <row r="785" spans="2:8" ht="21.05" customHeight="1">
      <c r="B785" s="49"/>
      <c r="C785" s="49"/>
      <c r="D785" s="49"/>
      <c r="E785" s="49"/>
      <c r="F785" s="49"/>
      <c r="G785" s="49"/>
      <c r="H785" s="49"/>
    </row>
    <row r="786" spans="2:8" ht="21.05" customHeight="1">
      <c r="B786" s="49"/>
      <c r="C786" s="49"/>
      <c r="D786" s="49"/>
      <c r="E786" s="49"/>
      <c r="F786" s="49"/>
      <c r="G786" s="49"/>
      <c r="H786" s="49"/>
    </row>
    <row r="787" spans="2:8" ht="21.05" customHeight="1">
      <c r="B787" s="49"/>
      <c r="C787" s="49"/>
      <c r="D787" s="49"/>
      <c r="E787" s="49"/>
      <c r="F787" s="49"/>
      <c r="G787" s="49"/>
      <c r="H787" s="49"/>
    </row>
    <row r="788" spans="2:8" ht="21.05" customHeight="1">
      <c r="B788" s="49"/>
      <c r="C788" s="49"/>
      <c r="D788" s="49"/>
      <c r="E788" s="49"/>
      <c r="F788" s="49"/>
      <c r="G788" s="49"/>
      <c r="H788" s="49"/>
    </row>
    <row r="789" spans="2:8" ht="21.05" customHeight="1">
      <c r="B789" s="49"/>
      <c r="C789" s="49"/>
      <c r="D789" s="49"/>
      <c r="E789" s="49"/>
      <c r="F789" s="49"/>
      <c r="G789" s="49"/>
      <c r="H789" s="49"/>
    </row>
    <row r="790" spans="2:8" ht="21.05" customHeight="1">
      <c r="B790" s="49"/>
      <c r="C790" s="49"/>
      <c r="D790" s="49"/>
      <c r="E790" s="49"/>
      <c r="F790" s="49"/>
      <c r="G790" s="49"/>
      <c r="H790" s="49"/>
    </row>
    <row r="791" spans="2:8" ht="21.05" customHeight="1">
      <c r="B791" s="49"/>
      <c r="C791" s="49"/>
      <c r="D791" s="49"/>
      <c r="E791" s="49"/>
      <c r="F791" s="49"/>
      <c r="G791" s="49"/>
      <c r="H791" s="49"/>
    </row>
    <row r="792" spans="2:8" ht="21.05" customHeight="1">
      <c r="B792" s="49"/>
      <c r="C792" s="49"/>
      <c r="D792" s="49"/>
      <c r="E792" s="49"/>
      <c r="F792" s="49"/>
      <c r="G792" s="49"/>
      <c r="H792" s="49"/>
    </row>
    <row r="793" spans="2:8" ht="21.05" customHeight="1">
      <c r="B793" s="49"/>
      <c r="C793" s="49"/>
      <c r="D793" s="49"/>
      <c r="E793" s="49"/>
      <c r="F793" s="49"/>
      <c r="G793" s="49"/>
      <c r="H793" s="49"/>
    </row>
    <row r="794" spans="2:8" ht="21.05" customHeight="1">
      <c r="B794" s="49"/>
      <c r="C794" s="49"/>
      <c r="D794" s="49"/>
      <c r="E794" s="49"/>
      <c r="F794" s="49"/>
      <c r="G794" s="49"/>
      <c r="H794" s="49"/>
    </row>
    <row r="795" spans="2:8" ht="21.05" customHeight="1">
      <c r="B795" s="49"/>
      <c r="C795" s="49"/>
      <c r="D795" s="49"/>
      <c r="E795" s="49"/>
      <c r="F795" s="49"/>
      <c r="G795" s="49"/>
      <c r="H795" s="49"/>
    </row>
    <row r="796" spans="2:8" ht="21.05" customHeight="1">
      <c r="B796" s="49"/>
      <c r="C796" s="49"/>
      <c r="D796" s="49"/>
      <c r="E796" s="49"/>
      <c r="F796" s="49"/>
      <c r="G796" s="49"/>
      <c r="H796" s="49"/>
    </row>
    <row r="797" spans="2:8" ht="21.05" customHeight="1">
      <c r="B797" s="49"/>
      <c r="C797" s="49"/>
      <c r="D797" s="49"/>
      <c r="E797" s="49"/>
      <c r="F797" s="49"/>
      <c r="G797" s="49"/>
      <c r="H797" s="49"/>
    </row>
    <row r="798" spans="2:8" ht="21.05" customHeight="1">
      <c r="B798" s="49"/>
      <c r="C798" s="49"/>
      <c r="D798" s="49"/>
      <c r="E798" s="49"/>
      <c r="F798" s="49"/>
      <c r="G798" s="49"/>
      <c r="H798" s="49"/>
    </row>
    <row r="799" spans="2:8" ht="21.05" customHeight="1">
      <c r="B799" s="49"/>
      <c r="C799" s="49"/>
      <c r="D799" s="49"/>
      <c r="E799" s="49"/>
      <c r="F799" s="49"/>
      <c r="G799" s="49"/>
      <c r="H799" s="49"/>
    </row>
    <row r="800" spans="2:8" ht="21.05" customHeight="1">
      <c r="B800" s="49"/>
      <c r="C800" s="49"/>
      <c r="D800" s="49"/>
      <c r="E800" s="49"/>
      <c r="F800" s="49"/>
      <c r="G800" s="49"/>
      <c r="H800" s="49"/>
    </row>
    <row r="801" spans="2:8" ht="21.05" customHeight="1">
      <c r="B801" s="49"/>
      <c r="C801" s="49"/>
      <c r="D801" s="49"/>
      <c r="E801" s="49"/>
      <c r="F801" s="49"/>
      <c r="G801" s="49"/>
      <c r="H801" s="49"/>
    </row>
    <row r="802" spans="2:8" ht="21.05" customHeight="1">
      <c r="B802" s="49"/>
      <c r="C802" s="49"/>
      <c r="D802" s="49"/>
      <c r="E802" s="49"/>
      <c r="F802" s="49"/>
      <c r="G802" s="49"/>
      <c r="H802" s="49"/>
    </row>
    <row r="803" spans="2:8" ht="21.05" customHeight="1">
      <c r="B803" s="49"/>
      <c r="C803" s="49"/>
      <c r="D803" s="49"/>
      <c r="E803" s="49"/>
      <c r="F803" s="49"/>
      <c r="G803" s="49"/>
      <c r="H803" s="49"/>
    </row>
    <row r="804" spans="2:8" ht="21.05" customHeight="1">
      <c r="B804" s="49"/>
      <c r="C804" s="49"/>
      <c r="D804" s="49"/>
      <c r="E804" s="49"/>
      <c r="F804" s="49"/>
      <c r="G804" s="49"/>
      <c r="H804" s="49"/>
    </row>
    <row r="805" spans="2:8" ht="21.05" customHeight="1">
      <c r="B805" s="49"/>
      <c r="C805" s="49"/>
      <c r="D805" s="49"/>
      <c r="E805" s="49"/>
      <c r="F805" s="49"/>
      <c r="G805" s="49"/>
      <c r="H805" s="49"/>
    </row>
    <row r="806" spans="2:8" ht="21.05" customHeight="1">
      <c r="B806" s="49"/>
      <c r="C806" s="49"/>
      <c r="D806" s="49"/>
      <c r="E806" s="49"/>
      <c r="F806" s="49"/>
      <c r="G806" s="49"/>
      <c r="H806" s="49"/>
    </row>
    <row r="807" spans="2:8" ht="21.05" customHeight="1">
      <c r="B807" s="49"/>
      <c r="C807" s="49"/>
      <c r="D807" s="49"/>
      <c r="E807" s="49"/>
      <c r="F807" s="49"/>
      <c r="G807" s="49"/>
      <c r="H807" s="49"/>
    </row>
    <row r="808" spans="2:8" ht="21.05" customHeight="1">
      <c r="B808" s="49"/>
      <c r="C808" s="49"/>
      <c r="D808" s="49"/>
      <c r="E808" s="49"/>
      <c r="F808" s="49"/>
      <c r="G808" s="49"/>
      <c r="H808" s="49"/>
    </row>
    <row r="809" spans="2:8" ht="21.05" customHeight="1">
      <c r="B809" s="49"/>
      <c r="C809" s="49"/>
      <c r="D809" s="49"/>
      <c r="E809" s="49"/>
      <c r="F809" s="49"/>
      <c r="G809" s="49"/>
      <c r="H809" s="49"/>
    </row>
    <row r="810" spans="2:8" ht="21.05" customHeight="1">
      <c r="B810" s="49"/>
      <c r="C810" s="49"/>
      <c r="D810" s="49"/>
      <c r="E810" s="49"/>
      <c r="F810" s="49"/>
      <c r="G810" s="49"/>
      <c r="H810" s="49"/>
    </row>
    <row r="811" spans="2:8" ht="21.05" customHeight="1">
      <c r="B811" s="49"/>
      <c r="C811" s="49"/>
      <c r="D811" s="49"/>
      <c r="E811" s="49"/>
      <c r="F811" s="49"/>
      <c r="G811" s="49"/>
      <c r="H811" s="49"/>
    </row>
    <row r="812" spans="2:8" ht="21.05" customHeight="1">
      <c r="B812" s="49"/>
      <c r="C812" s="49"/>
      <c r="D812" s="49"/>
      <c r="E812" s="49"/>
      <c r="F812" s="49"/>
      <c r="G812" s="49"/>
      <c r="H812" s="49"/>
    </row>
    <row r="813" spans="2:8" ht="21.05" customHeight="1">
      <c r="B813" s="49"/>
      <c r="C813" s="49"/>
      <c r="D813" s="49"/>
      <c r="E813" s="49"/>
      <c r="F813" s="49"/>
      <c r="G813" s="49"/>
      <c r="H813" s="49"/>
    </row>
    <row r="814" spans="2:8" ht="21.05" customHeight="1">
      <c r="B814" s="49"/>
      <c r="C814" s="49"/>
      <c r="D814" s="49"/>
      <c r="E814" s="49"/>
      <c r="F814" s="49"/>
      <c r="G814" s="49"/>
      <c r="H814" s="49"/>
    </row>
    <row r="815" spans="2:8" ht="21.05" customHeight="1">
      <c r="B815" s="49"/>
      <c r="C815" s="49"/>
      <c r="D815" s="49"/>
      <c r="E815" s="49"/>
      <c r="F815" s="49"/>
      <c r="G815" s="49"/>
      <c r="H815" s="49"/>
    </row>
    <row r="816" spans="2:8" ht="21.05" customHeight="1">
      <c r="B816" s="49"/>
      <c r="C816" s="49"/>
      <c r="D816" s="49"/>
      <c r="E816" s="49"/>
      <c r="F816" s="49"/>
      <c r="G816" s="49"/>
      <c r="H816" s="49"/>
    </row>
    <row r="817" spans="2:8" ht="21.05" customHeight="1">
      <c r="B817" s="49"/>
      <c r="C817" s="49"/>
      <c r="D817" s="49"/>
      <c r="E817" s="49"/>
      <c r="F817" s="49"/>
      <c r="G817" s="49"/>
      <c r="H817" s="49"/>
    </row>
    <row r="818" spans="2:8" ht="21.05" customHeight="1">
      <c r="B818" s="49"/>
      <c r="C818" s="49"/>
      <c r="D818" s="49"/>
      <c r="E818" s="49"/>
      <c r="F818" s="49"/>
      <c r="G818" s="49"/>
      <c r="H818" s="49"/>
    </row>
    <row r="819" spans="2:8" ht="21.05" customHeight="1">
      <c r="B819" s="49"/>
      <c r="C819" s="49"/>
      <c r="D819" s="49"/>
      <c r="E819" s="49"/>
      <c r="F819" s="49"/>
      <c r="G819" s="49"/>
      <c r="H819" s="49"/>
    </row>
    <row r="820" spans="2:8" ht="21.05" customHeight="1">
      <c r="B820" s="49"/>
      <c r="C820" s="49"/>
      <c r="D820" s="49"/>
      <c r="E820" s="49"/>
      <c r="F820" s="49"/>
      <c r="G820" s="49"/>
      <c r="H820" s="49"/>
    </row>
    <row r="821" spans="2:8" ht="21.05" customHeight="1">
      <c r="B821" s="49"/>
      <c r="C821" s="49"/>
      <c r="D821" s="49"/>
      <c r="E821" s="49"/>
      <c r="F821" s="49"/>
      <c r="G821" s="49"/>
      <c r="H821" s="49"/>
    </row>
    <row r="822" spans="2:8" ht="21.05" customHeight="1">
      <c r="B822" s="49"/>
      <c r="C822" s="49"/>
      <c r="D822" s="49"/>
      <c r="E822" s="49"/>
      <c r="F822" s="49"/>
      <c r="G822" s="49"/>
      <c r="H822" s="49"/>
    </row>
    <row r="823" spans="2:8" ht="21.05" customHeight="1">
      <c r="B823" s="49"/>
      <c r="C823" s="49"/>
      <c r="D823" s="49"/>
      <c r="E823" s="49"/>
      <c r="F823" s="49"/>
      <c r="G823" s="49"/>
      <c r="H823" s="49"/>
    </row>
    <row r="824" spans="2:8" ht="21.05" customHeight="1">
      <c r="B824" s="49"/>
      <c r="C824" s="49"/>
      <c r="D824" s="49"/>
      <c r="E824" s="49"/>
      <c r="F824" s="49"/>
      <c r="G824" s="49"/>
      <c r="H824" s="49"/>
    </row>
    <row r="825" spans="2:8" ht="21.05" customHeight="1">
      <c r="B825" s="49"/>
      <c r="C825" s="49"/>
      <c r="D825" s="49"/>
      <c r="E825" s="49"/>
      <c r="F825" s="49"/>
      <c r="G825" s="49"/>
      <c r="H825" s="49"/>
    </row>
    <row r="826" spans="2:8" ht="21.05" customHeight="1">
      <c r="B826" s="49"/>
      <c r="C826" s="49"/>
      <c r="D826" s="49"/>
      <c r="E826" s="49"/>
      <c r="F826" s="49"/>
      <c r="G826" s="49"/>
      <c r="H826" s="49"/>
    </row>
    <row r="827" spans="2:8" ht="21.05" customHeight="1">
      <c r="B827" s="49"/>
      <c r="C827" s="49"/>
      <c r="D827" s="49"/>
      <c r="E827" s="49"/>
      <c r="F827" s="49"/>
      <c r="G827" s="49"/>
      <c r="H827" s="49"/>
    </row>
    <row r="828" spans="2:8" ht="21.05" customHeight="1">
      <c r="B828" s="49"/>
      <c r="C828" s="49"/>
      <c r="D828" s="49"/>
      <c r="E828" s="49"/>
      <c r="F828" s="49"/>
      <c r="G828" s="49"/>
      <c r="H828" s="49"/>
    </row>
    <row r="829" spans="2:8" ht="21.05" customHeight="1">
      <c r="B829" s="49"/>
      <c r="C829" s="49"/>
      <c r="D829" s="49"/>
      <c r="E829" s="49"/>
      <c r="F829" s="49"/>
      <c r="G829" s="49"/>
      <c r="H829" s="49"/>
    </row>
    <row r="830" spans="2:8" ht="21.05" customHeight="1">
      <c r="B830" s="49"/>
      <c r="C830" s="49"/>
      <c r="D830" s="49"/>
      <c r="E830" s="49"/>
      <c r="F830" s="49"/>
      <c r="G830" s="49"/>
      <c r="H830" s="49"/>
    </row>
    <row r="831" spans="2:8" ht="21.05" customHeight="1">
      <c r="B831" s="49"/>
      <c r="C831" s="49"/>
      <c r="D831" s="49"/>
      <c r="E831" s="49"/>
      <c r="F831" s="49"/>
      <c r="G831" s="49"/>
      <c r="H831" s="49"/>
    </row>
    <row r="832" spans="2:8" ht="21.05" customHeight="1">
      <c r="B832" s="49"/>
      <c r="C832" s="49"/>
      <c r="D832" s="49"/>
      <c r="E832" s="49"/>
      <c r="F832" s="49"/>
      <c r="G832" s="49"/>
      <c r="H832" s="49"/>
    </row>
    <row r="833" spans="2:8" ht="21.05" customHeight="1">
      <c r="B833" s="49"/>
      <c r="C833" s="49"/>
      <c r="D833" s="49"/>
      <c r="E833" s="49"/>
      <c r="F833" s="49"/>
      <c r="G833" s="49"/>
      <c r="H833" s="49"/>
    </row>
    <row r="834" spans="2:8" ht="21.05" customHeight="1">
      <c r="B834" s="49"/>
      <c r="C834" s="49"/>
      <c r="D834" s="49"/>
      <c r="E834" s="49"/>
      <c r="F834" s="49"/>
      <c r="G834" s="49"/>
      <c r="H834" s="49"/>
    </row>
    <row r="835" spans="2:8" ht="21.05" customHeight="1">
      <c r="B835" s="49"/>
      <c r="C835" s="49"/>
      <c r="D835" s="49"/>
      <c r="E835" s="49"/>
      <c r="F835" s="49"/>
      <c r="G835" s="49"/>
      <c r="H835" s="49"/>
    </row>
    <row r="836" spans="2:8" ht="21.05" customHeight="1">
      <c r="B836" s="49"/>
      <c r="C836" s="49"/>
      <c r="D836" s="49"/>
      <c r="E836" s="49"/>
      <c r="F836" s="49"/>
      <c r="G836" s="49"/>
      <c r="H836" s="49"/>
    </row>
    <row r="837" spans="2:8" ht="21.05" customHeight="1">
      <c r="B837" s="49"/>
      <c r="C837" s="49"/>
      <c r="D837" s="49"/>
      <c r="E837" s="49"/>
      <c r="F837" s="49"/>
      <c r="G837" s="49"/>
      <c r="H837" s="49"/>
    </row>
    <row r="838" spans="2:8" ht="21.05" customHeight="1">
      <c r="B838" s="49"/>
      <c r="C838" s="49"/>
      <c r="D838" s="49"/>
      <c r="E838" s="49"/>
      <c r="F838" s="49"/>
      <c r="G838" s="49"/>
      <c r="H838" s="49"/>
    </row>
    <row r="839" spans="2:8" ht="21.05" customHeight="1">
      <c r="B839" s="49"/>
      <c r="C839" s="49"/>
      <c r="D839" s="49"/>
      <c r="E839" s="49"/>
      <c r="F839" s="49"/>
      <c r="G839" s="49"/>
      <c r="H839" s="49"/>
    </row>
    <row r="840" spans="2:8" ht="21.05" customHeight="1">
      <c r="B840" s="49"/>
      <c r="C840" s="49"/>
      <c r="D840" s="49"/>
      <c r="E840" s="49"/>
      <c r="F840" s="49"/>
      <c r="G840" s="49"/>
      <c r="H840" s="49"/>
    </row>
    <row r="841" spans="2:8" ht="21.05" customHeight="1">
      <c r="B841" s="49"/>
      <c r="C841" s="49"/>
      <c r="D841" s="49"/>
      <c r="E841" s="49"/>
      <c r="F841" s="49"/>
      <c r="G841" s="49"/>
      <c r="H841" s="49"/>
    </row>
    <row r="842" spans="2:8" ht="21.05" customHeight="1">
      <c r="B842" s="49"/>
      <c r="C842" s="49"/>
      <c r="D842" s="49"/>
      <c r="E842" s="49"/>
      <c r="F842" s="49"/>
      <c r="G842" s="49"/>
      <c r="H842" s="49"/>
    </row>
    <row r="843" spans="2:8" ht="21.05" customHeight="1">
      <c r="B843" s="49"/>
      <c r="C843" s="49"/>
      <c r="D843" s="49"/>
      <c r="E843" s="49"/>
      <c r="F843" s="49"/>
      <c r="G843" s="49"/>
      <c r="H843" s="49"/>
    </row>
    <row r="844" spans="2:8" ht="21.05" customHeight="1">
      <c r="B844" s="49"/>
      <c r="C844" s="49"/>
      <c r="D844" s="49"/>
      <c r="E844" s="49"/>
      <c r="F844" s="49"/>
      <c r="G844" s="49"/>
      <c r="H844" s="49"/>
    </row>
    <row r="845" spans="2:8" ht="21.05" customHeight="1">
      <c r="B845" s="49"/>
      <c r="C845" s="49"/>
      <c r="D845" s="49"/>
      <c r="E845" s="49"/>
      <c r="F845" s="49"/>
      <c r="G845" s="49"/>
      <c r="H845" s="49"/>
    </row>
    <row r="846" spans="2:8" ht="21.05" customHeight="1">
      <c r="B846" s="49"/>
      <c r="C846" s="49"/>
      <c r="D846" s="49"/>
      <c r="E846" s="49"/>
      <c r="F846" s="49"/>
      <c r="G846" s="49"/>
      <c r="H846" s="49"/>
    </row>
    <row r="847" spans="2:8" ht="21.05" customHeight="1">
      <c r="B847" s="49"/>
      <c r="C847" s="49"/>
      <c r="D847" s="49"/>
      <c r="E847" s="49"/>
      <c r="F847" s="49"/>
      <c r="G847" s="49"/>
      <c r="H847" s="49"/>
    </row>
    <row r="848" spans="2:8" ht="21.05" customHeight="1">
      <c r="B848" s="49"/>
      <c r="C848" s="49"/>
      <c r="D848" s="49"/>
      <c r="E848" s="49"/>
      <c r="F848" s="49"/>
      <c r="G848" s="49"/>
      <c r="H848" s="49"/>
    </row>
    <row r="849" spans="2:8" ht="21.05" customHeight="1">
      <c r="B849" s="49"/>
      <c r="C849" s="49"/>
      <c r="D849" s="49"/>
      <c r="E849" s="49"/>
      <c r="F849" s="49"/>
      <c r="G849" s="49"/>
      <c r="H849" s="49"/>
    </row>
    <row r="850" spans="2:8" ht="21.05" customHeight="1">
      <c r="B850" s="49"/>
      <c r="C850" s="49"/>
      <c r="D850" s="49"/>
      <c r="E850" s="49"/>
      <c r="F850" s="49"/>
      <c r="G850" s="49"/>
      <c r="H850" s="49"/>
    </row>
    <row r="851" spans="2:8" ht="21.05" customHeight="1">
      <c r="B851" s="49"/>
      <c r="C851" s="49"/>
      <c r="D851" s="49"/>
      <c r="E851" s="49"/>
      <c r="F851" s="49"/>
      <c r="G851" s="49"/>
      <c r="H851" s="49"/>
    </row>
    <row r="852" spans="2:8" ht="21.05" customHeight="1">
      <c r="B852" s="49"/>
      <c r="C852" s="49"/>
      <c r="D852" s="49"/>
      <c r="E852" s="49"/>
      <c r="F852" s="49"/>
      <c r="G852" s="49"/>
      <c r="H852" s="49"/>
    </row>
    <row r="853" spans="2:8" ht="21.05" customHeight="1">
      <c r="B853" s="49"/>
      <c r="C853" s="49"/>
      <c r="D853" s="49"/>
      <c r="E853" s="49"/>
      <c r="F853" s="49"/>
      <c r="G853" s="49"/>
      <c r="H853" s="49"/>
    </row>
    <row r="854" spans="2:8" ht="21.05" customHeight="1">
      <c r="B854" s="49"/>
      <c r="C854" s="49"/>
      <c r="D854" s="49"/>
      <c r="E854" s="49"/>
      <c r="F854" s="49"/>
      <c r="G854" s="49"/>
      <c r="H854" s="49"/>
    </row>
    <row r="855" spans="2:8" ht="21.05" customHeight="1">
      <c r="B855" s="49"/>
      <c r="C855" s="49"/>
      <c r="D855" s="49"/>
      <c r="E855" s="49"/>
      <c r="F855" s="49"/>
      <c r="G855" s="49"/>
      <c r="H855" s="49"/>
    </row>
    <row r="856" spans="2:8" ht="21.05" customHeight="1">
      <c r="B856" s="49"/>
      <c r="C856" s="49"/>
      <c r="D856" s="49"/>
      <c r="E856" s="49"/>
      <c r="F856" s="49"/>
      <c r="G856" s="49"/>
      <c r="H856" s="49"/>
    </row>
    <row r="857" spans="2:8" ht="21.05" customHeight="1">
      <c r="B857" s="49"/>
      <c r="C857" s="49"/>
      <c r="D857" s="49"/>
      <c r="E857" s="49"/>
      <c r="F857" s="49"/>
      <c r="G857" s="49"/>
      <c r="H857" s="49"/>
    </row>
    <row r="858" spans="2:8" ht="21.05" customHeight="1">
      <c r="B858" s="49"/>
      <c r="C858" s="49"/>
      <c r="D858" s="49"/>
      <c r="E858" s="49"/>
      <c r="F858" s="49"/>
      <c r="G858" s="49"/>
      <c r="H858" s="49"/>
    </row>
    <row r="859" spans="2:8" ht="21.05" customHeight="1">
      <c r="B859" s="49"/>
      <c r="C859" s="49"/>
      <c r="D859" s="49"/>
      <c r="E859" s="49"/>
      <c r="F859" s="49"/>
      <c r="G859" s="49"/>
      <c r="H859" s="49"/>
    </row>
    <row r="860" spans="2:8" ht="21.05" customHeight="1">
      <c r="B860" s="49"/>
      <c r="C860" s="49"/>
      <c r="D860" s="49"/>
      <c r="E860" s="49"/>
      <c r="F860" s="49"/>
      <c r="G860" s="49"/>
      <c r="H860" s="49"/>
    </row>
    <row r="861" spans="2:8" ht="21.05" customHeight="1">
      <c r="B861" s="49"/>
      <c r="C861" s="49"/>
      <c r="D861" s="49"/>
      <c r="E861" s="49"/>
      <c r="F861" s="49"/>
      <c r="G861" s="49"/>
      <c r="H861" s="49"/>
    </row>
    <row r="862" spans="2:8" ht="21.05" customHeight="1">
      <c r="B862" s="49"/>
      <c r="C862" s="49"/>
      <c r="D862" s="49"/>
      <c r="E862" s="49"/>
      <c r="F862" s="49"/>
      <c r="G862" s="49"/>
      <c r="H862" s="49"/>
    </row>
    <row r="863" spans="2:8" ht="21.05" customHeight="1">
      <c r="B863" s="49"/>
      <c r="C863" s="49"/>
      <c r="D863" s="49"/>
      <c r="E863" s="49"/>
      <c r="F863" s="49"/>
      <c r="G863" s="49"/>
      <c r="H863" s="49"/>
    </row>
    <row r="864" spans="2:8" ht="21.05" customHeight="1">
      <c r="B864" s="49"/>
      <c r="C864" s="49"/>
      <c r="D864" s="49"/>
      <c r="E864" s="49"/>
      <c r="F864" s="49"/>
      <c r="G864" s="49"/>
      <c r="H864" s="49"/>
    </row>
    <row r="865" spans="2:8" ht="21.05" customHeight="1">
      <c r="B865" s="49"/>
      <c r="C865" s="49"/>
      <c r="D865" s="49"/>
      <c r="E865" s="49"/>
      <c r="F865" s="49"/>
      <c r="G865" s="49"/>
      <c r="H865" s="49"/>
    </row>
    <row r="866" spans="2:8" ht="21.05" customHeight="1">
      <c r="B866" s="49"/>
      <c r="C866" s="49"/>
      <c r="D866" s="49"/>
      <c r="E866" s="49"/>
      <c r="F866" s="49"/>
      <c r="G866" s="49"/>
      <c r="H866" s="49"/>
    </row>
    <row r="867" spans="2:8" ht="21.05" customHeight="1">
      <c r="B867" s="49"/>
      <c r="C867" s="49"/>
      <c r="D867" s="49"/>
      <c r="E867" s="49"/>
      <c r="F867" s="49"/>
      <c r="G867" s="49"/>
      <c r="H867" s="49"/>
    </row>
    <row r="868" spans="2:8" ht="21.05" customHeight="1">
      <c r="B868" s="49"/>
      <c r="C868" s="49"/>
      <c r="D868" s="49"/>
      <c r="E868" s="49"/>
      <c r="F868" s="49"/>
      <c r="G868" s="49"/>
      <c r="H868" s="49"/>
    </row>
    <row r="869" spans="2:8" ht="21.05" customHeight="1">
      <c r="B869" s="49"/>
      <c r="C869" s="49"/>
      <c r="D869" s="49"/>
      <c r="E869" s="49"/>
      <c r="F869" s="49"/>
      <c r="G869" s="49"/>
      <c r="H869" s="49"/>
    </row>
    <row r="870" spans="2:8" ht="21.05" customHeight="1">
      <c r="B870" s="49"/>
      <c r="C870" s="49"/>
      <c r="D870" s="49"/>
      <c r="E870" s="49"/>
      <c r="F870" s="49"/>
      <c r="G870" s="49"/>
      <c r="H870" s="49"/>
    </row>
    <row r="871" spans="2:8" ht="21.05" customHeight="1">
      <c r="B871" s="49"/>
      <c r="C871" s="49"/>
      <c r="D871" s="49"/>
      <c r="E871" s="49"/>
      <c r="F871" s="49"/>
      <c r="G871" s="49"/>
      <c r="H871" s="49"/>
    </row>
    <row r="872" spans="2:8" ht="21.05" customHeight="1">
      <c r="B872" s="49"/>
      <c r="C872" s="49"/>
      <c r="D872" s="49"/>
      <c r="E872" s="49"/>
      <c r="F872" s="49"/>
      <c r="G872" s="49"/>
      <c r="H872" s="49"/>
    </row>
    <row r="873" spans="2:8" ht="21.05" customHeight="1">
      <c r="B873" s="49"/>
      <c r="C873" s="49"/>
      <c r="D873" s="49"/>
      <c r="E873" s="49"/>
      <c r="F873" s="49"/>
      <c r="G873" s="49"/>
      <c r="H873" s="49"/>
    </row>
    <row r="874" spans="2:8" ht="21.05" customHeight="1">
      <c r="B874" s="49"/>
      <c r="C874" s="49"/>
      <c r="D874" s="49"/>
      <c r="E874" s="49"/>
      <c r="F874" s="49"/>
      <c r="G874" s="49"/>
      <c r="H874" s="49"/>
    </row>
    <row r="875" spans="2:8" ht="21.05" customHeight="1">
      <c r="B875" s="49"/>
      <c r="C875" s="49"/>
      <c r="D875" s="49"/>
      <c r="E875" s="49"/>
      <c r="F875" s="49"/>
      <c r="G875" s="49"/>
      <c r="H875" s="49"/>
    </row>
    <row r="876" spans="2:8" ht="21.05" customHeight="1">
      <c r="B876" s="49"/>
      <c r="C876" s="49"/>
      <c r="D876" s="49"/>
      <c r="E876" s="49"/>
      <c r="F876" s="49"/>
      <c r="G876" s="49"/>
      <c r="H876" s="49"/>
    </row>
    <row r="877" spans="2:8" ht="21.05" customHeight="1">
      <c r="B877" s="49"/>
      <c r="C877" s="49"/>
      <c r="D877" s="49"/>
      <c r="E877" s="49"/>
      <c r="F877" s="49"/>
      <c r="G877" s="49"/>
      <c r="H877" s="49"/>
    </row>
    <row r="878" spans="2:8" ht="21.05" customHeight="1">
      <c r="B878" s="49"/>
      <c r="C878" s="49"/>
      <c r="D878" s="49"/>
      <c r="E878" s="49"/>
      <c r="F878" s="49"/>
      <c r="G878" s="49"/>
      <c r="H878" s="49"/>
    </row>
    <row r="879" spans="2:8" ht="21.05" customHeight="1">
      <c r="B879" s="49"/>
      <c r="C879" s="49"/>
      <c r="D879" s="49"/>
      <c r="E879" s="49"/>
      <c r="F879" s="49"/>
      <c r="G879" s="49"/>
      <c r="H879" s="49"/>
    </row>
    <row r="880" spans="2:8" ht="21.05" customHeight="1">
      <c r="B880" s="49"/>
      <c r="C880" s="49"/>
      <c r="D880" s="49"/>
      <c r="E880" s="49"/>
      <c r="F880" s="49"/>
      <c r="G880" s="49"/>
      <c r="H880" s="49"/>
    </row>
    <row r="881" spans="2:8" ht="21.05" customHeight="1">
      <c r="B881" s="49"/>
      <c r="C881" s="49"/>
      <c r="D881" s="49"/>
      <c r="E881" s="49"/>
      <c r="F881" s="49"/>
      <c r="G881" s="49"/>
      <c r="H881" s="49"/>
    </row>
    <row r="882" spans="2:8" ht="21.05" customHeight="1">
      <c r="B882" s="49"/>
      <c r="C882" s="49"/>
      <c r="D882" s="49"/>
      <c r="E882" s="49"/>
      <c r="F882" s="49"/>
      <c r="G882" s="49"/>
      <c r="H882" s="49"/>
    </row>
    <row r="883" spans="2:8" ht="21.05" customHeight="1">
      <c r="B883" s="49"/>
      <c r="C883" s="49"/>
      <c r="D883" s="49"/>
      <c r="E883" s="49"/>
      <c r="F883" s="49"/>
      <c r="G883" s="49"/>
      <c r="H883" s="49"/>
    </row>
    <row r="884" spans="2:8" ht="21.05" customHeight="1">
      <c r="B884" s="49"/>
      <c r="C884" s="49"/>
      <c r="D884" s="49"/>
      <c r="E884" s="49"/>
      <c r="F884" s="49"/>
      <c r="G884" s="49"/>
      <c r="H884" s="49"/>
    </row>
    <row r="885" spans="2:8" ht="21.05" customHeight="1">
      <c r="B885" s="49"/>
      <c r="C885" s="49"/>
      <c r="D885" s="49"/>
      <c r="E885" s="49"/>
      <c r="F885" s="49"/>
      <c r="G885" s="49"/>
      <c r="H885" s="49"/>
    </row>
    <row r="886" spans="2:8" ht="21.05" customHeight="1">
      <c r="B886" s="49"/>
      <c r="C886" s="49"/>
      <c r="D886" s="49"/>
      <c r="E886" s="49"/>
      <c r="F886" s="49"/>
      <c r="G886" s="49"/>
      <c r="H886" s="49"/>
    </row>
    <row r="887" spans="2:8" ht="21.05" customHeight="1">
      <c r="B887" s="49"/>
      <c r="C887" s="49"/>
      <c r="D887" s="49"/>
      <c r="E887" s="49"/>
      <c r="F887" s="49"/>
      <c r="G887" s="49"/>
      <c r="H887" s="49"/>
    </row>
    <row r="888" spans="2:8" ht="21.05" customHeight="1">
      <c r="B888" s="49"/>
      <c r="C888" s="49"/>
      <c r="D888" s="49"/>
      <c r="E888" s="49"/>
      <c r="F888" s="49"/>
      <c r="G888" s="49"/>
      <c r="H888" s="49"/>
    </row>
    <row r="889" spans="2:8" ht="21.05" customHeight="1">
      <c r="B889" s="49"/>
      <c r="C889" s="49"/>
      <c r="D889" s="49"/>
      <c r="E889" s="49"/>
      <c r="F889" s="49"/>
      <c r="G889" s="49"/>
      <c r="H889" s="49"/>
    </row>
    <row r="890" spans="2:8" ht="21.05" customHeight="1">
      <c r="B890" s="49"/>
      <c r="C890" s="49"/>
      <c r="D890" s="49"/>
      <c r="E890" s="49"/>
      <c r="F890" s="49"/>
      <c r="G890" s="49"/>
      <c r="H890" s="49"/>
    </row>
    <row r="891" spans="2:8" ht="21.05" customHeight="1">
      <c r="B891" s="49"/>
      <c r="C891" s="49"/>
      <c r="D891" s="49"/>
      <c r="E891" s="49"/>
      <c r="F891" s="49"/>
      <c r="G891" s="49"/>
      <c r="H891" s="49"/>
    </row>
    <row r="892" spans="2:8" ht="21.05" customHeight="1">
      <c r="B892" s="49"/>
      <c r="C892" s="49"/>
      <c r="D892" s="49"/>
      <c r="E892" s="49"/>
      <c r="F892" s="49"/>
      <c r="G892" s="49"/>
      <c r="H892" s="49"/>
    </row>
    <row r="893" spans="2:8" ht="21.05" customHeight="1">
      <c r="B893" s="49"/>
      <c r="C893" s="49"/>
      <c r="D893" s="49"/>
      <c r="E893" s="49"/>
      <c r="F893" s="49"/>
      <c r="G893" s="49"/>
      <c r="H893" s="49"/>
    </row>
    <row r="894" spans="2:8" ht="21.05" customHeight="1">
      <c r="B894" s="49"/>
      <c r="C894" s="49"/>
      <c r="D894" s="49"/>
      <c r="E894" s="49"/>
      <c r="F894" s="49"/>
      <c r="G894" s="49"/>
      <c r="H894" s="49"/>
    </row>
    <row r="895" spans="2:8" ht="21.05" customHeight="1">
      <c r="B895" s="49"/>
      <c r="C895" s="49"/>
      <c r="D895" s="49"/>
      <c r="E895" s="49"/>
      <c r="F895" s="49"/>
      <c r="G895" s="49"/>
      <c r="H895" s="49"/>
    </row>
    <row r="896" spans="2:8" ht="21.05" customHeight="1">
      <c r="B896" s="49"/>
      <c r="C896" s="49"/>
      <c r="D896" s="49"/>
      <c r="E896" s="49"/>
      <c r="F896" s="49"/>
      <c r="G896" s="49"/>
      <c r="H896" s="49"/>
    </row>
    <row r="897" spans="2:8" ht="21.05" customHeight="1">
      <c r="B897" s="49"/>
      <c r="C897" s="49"/>
      <c r="D897" s="49"/>
      <c r="E897" s="49"/>
      <c r="F897" s="49"/>
      <c r="G897" s="49"/>
      <c r="H897" s="49"/>
    </row>
    <row r="898" spans="2:8" ht="21.05" customHeight="1">
      <c r="B898" s="49"/>
      <c r="C898" s="49"/>
      <c r="D898" s="49"/>
      <c r="E898" s="49"/>
      <c r="F898" s="49"/>
      <c r="G898" s="49"/>
      <c r="H898" s="49"/>
    </row>
    <row r="899" spans="2:8" ht="21.05" customHeight="1">
      <c r="B899" s="49"/>
      <c r="C899" s="49"/>
      <c r="D899" s="49"/>
      <c r="E899" s="49"/>
      <c r="F899" s="49"/>
      <c r="G899" s="49"/>
      <c r="H899" s="49"/>
    </row>
    <row r="900" spans="2:8" ht="21.05" customHeight="1">
      <c r="B900" s="49"/>
      <c r="C900" s="49"/>
      <c r="D900" s="49"/>
      <c r="E900" s="49"/>
      <c r="F900" s="49"/>
      <c r="G900" s="49"/>
      <c r="H900" s="49"/>
    </row>
    <row r="901" spans="2:8" ht="21.05" customHeight="1">
      <c r="B901" s="49"/>
      <c r="C901" s="49"/>
      <c r="D901" s="49"/>
      <c r="E901" s="49"/>
      <c r="F901" s="49"/>
      <c r="G901" s="49"/>
      <c r="H901" s="49"/>
    </row>
    <row r="902" spans="2:8" ht="21.05" customHeight="1">
      <c r="B902" s="49"/>
      <c r="C902" s="49"/>
      <c r="D902" s="49"/>
      <c r="E902" s="49"/>
      <c r="F902" s="49"/>
      <c r="G902" s="49"/>
      <c r="H902" s="49"/>
    </row>
    <row r="903" spans="2:8" ht="21.05" customHeight="1">
      <c r="B903" s="49"/>
      <c r="C903" s="49"/>
      <c r="D903" s="49"/>
      <c r="E903" s="49"/>
      <c r="F903" s="49"/>
      <c r="G903" s="49"/>
      <c r="H903" s="49"/>
    </row>
    <row r="904" spans="2:8" ht="21.05" customHeight="1">
      <c r="B904" s="49"/>
      <c r="C904" s="49"/>
      <c r="D904" s="49"/>
      <c r="E904" s="49"/>
      <c r="F904" s="49"/>
      <c r="G904" s="49"/>
      <c r="H904" s="49"/>
    </row>
    <row r="905" spans="2:8" ht="21.05" customHeight="1">
      <c r="B905" s="49"/>
      <c r="C905" s="49"/>
      <c r="D905" s="49"/>
      <c r="E905" s="49"/>
      <c r="F905" s="49"/>
      <c r="G905" s="49"/>
      <c r="H905" s="49"/>
    </row>
    <row r="906" spans="2:8" ht="21.05" customHeight="1">
      <c r="B906" s="49"/>
      <c r="C906" s="49"/>
      <c r="D906" s="49"/>
      <c r="E906" s="49"/>
      <c r="F906" s="49"/>
      <c r="G906" s="49"/>
      <c r="H906" s="49"/>
    </row>
    <row r="907" spans="2:8" ht="21.05" customHeight="1">
      <c r="B907" s="49"/>
      <c r="C907" s="49"/>
      <c r="D907" s="49"/>
      <c r="E907" s="49"/>
      <c r="F907" s="49"/>
      <c r="G907" s="49"/>
      <c r="H907" s="49"/>
    </row>
    <row r="908" spans="2:8" ht="21.05" customHeight="1">
      <c r="B908" s="49"/>
      <c r="C908" s="49"/>
      <c r="D908" s="49"/>
      <c r="E908" s="49"/>
      <c r="F908" s="49"/>
      <c r="G908" s="49"/>
      <c r="H908" s="49"/>
    </row>
    <row r="909" spans="2:8" ht="21.05" customHeight="1">
      <c r="B909" s="49"/>
      <c r="C909" s="49"/>
      <c r="D909" s="49"/>
      <c r="E909" s="49"/>
      <c r="F909" s="49"/>
      <c r="G909" s="49"/>
      <c r="H909" s="49"/>
    </row>
    <row r="910" spans="2:8" ht="21.05" customHeight="1">
      <c r="B910" s="49"/>
      <c r="C910" s="49"/>
      <c r="D910" s="49"/>
      <c r="E910" s="49"/>
      <c r="F910" s="49"/>
      <c r="G910" s="49"/>
      <c r="H910" s="49"/>
    </row>
    <row r="911" spans="2:8" ht="21.05" customHeight="1">
      <c r="B911" s="49"/>
      <c r="C911" s="49"/>
      <c r="D911" s="49"/>
      <c r="E911" s="49"/>
      <c r="F911" s="49"/>
      <c r="G911" s="49"/>
      <c r="H911" s="49"/>
    </row>
    <row r="912" spans="2:8" ht="21.05" customHeight="1">
      <c r="B912" s="49"/>
      <c r="C912" s="49"/>
      <c r="D912" s="49"/>
      <c r="E912" s="49"/>
      <c r="F912" s="49"/>
      <c r="G912" s="49"/>
      <c r="H912" s="49"/>
    </row>
    <row r="913" spans="2:8" ht="21.05" customHeight="1">
      <c r="B913" s="49"/>
      <c r="C913" s="49"/>
      <c r="D913" s="49"/>
      <c r="E913" s="49"/>
      <c r="F913" s="49"/>
      <c r="G913" s="49"/>
      <c r="H913" s="49"/>
    </row>
    <row r="914" spans="2:8" ht="21.05" customHeight="1">
      <c r="B914" s="49"/>
      <c r="C914" s="49"/>
      <c r="D914" s="49"/>
      <c r="E914" s="49"/>
      <c r="F914" s="49"/>
      <c r="G914" s="49"/>
      <c r="H914" s="49"/>
    </row>
    <row r="915" spans="2:8" ht="21.05" customHeight="1">
      <c r="B915" s="49"/>
      <c r="C915" s="49"/>
      <c r="D915" s="49"/>
      <c r="E915" s="49"/>
      <c r="F915" s="49"/>
      <c r="G915" s="49"/>
      <c r="H915" s="49"/>
    </row>
    <row r="916" spans="2:8" ht="21.05" customHeight="1">
      <c r="B916" s="49"/>
      <c r="C916" s="49"/>
      <c r="D916" s="49"/>
      <c r="E916" s="49"/>
      <c r="F916" s="49"/>
      <c r="G916" s="49"/>
      <c r="H916" s="49"/>
    </row>
    <row r="917" spans="2:8" ht="21.05" customHeight="1">
      <c r="B917" s="49"/>
      <c r="C917" s="49"/>
      <c r="D917" s="49"/>
      <c r="E917" s="49"/>
      <c r="F917" s="49"/>
      <c r="G917" s="49"/>
      <c r="H917" s="49"/>
    </row>
    <row r="918" spans="2:8" ht="21.05" customHeight="1">
      <c r="B918" s="49"/>
      <c r="C918" s="49"/>
      <c r="D918" s="49"/>
      <c r="E918" s="49"/>
      <c r="F918" s="49"/>
      <c r="G918" s="49"/>
      <c r="H918" s="49"/>
    </row>
    <row r="919" spans="2:8" ht="21.05" customHeight="1">
      <c r="B919" s="49"/>
      <c r="C919" s="49"/>
      <c r="D919" s="49"/>
      <c r="E919" s="49"/>
      <c r="F919" s="49"/>
      <c r="G919" s="49"/>
      <c r="H919" s="49"/>
    </row>
    <row r="920" spans="2:8" ht="21.05" customHeight="1">
      <c r="B920" s="49"/>
      <c r="C920" s="49"/>
      <c r="D920" s="49"/>
      <c r="E920" s="49"/>
      <c r="F920" s="49"/>
      <c r="G920" s="49"/>
      <c r="H920" s="49"/>
    </row>
    <row r="921" spans="2:8" ht="21.05" customHeight="1">
      <c r="B921" s="49"/>
      <c r="C921" s="49"/>
      <c r="D921" s="49"/>
      <c r="E921" s="49"/>
      <c r="F921" s="49"/>
      <c r="G921" s="49"/>
      <c r="H921" s="49"/>
    </row>
    <row r="922" spans="2:8" ht="21.05" customHeight="1">
      <c r="B922" s="49"/>
      <c r="C922" s="49"/>
      <c r="D922" s="49"/>
      <c r="E922" s="49"/>
      <c r="F922" s="49"/>
      <c r="G922" s="49"/>
      <c r="H922" s="49"/>
    </row>
    <row r="923" spans="2:8" ht="21.05" customHeight="1">
      <c r="B923" s="49"/>
      <c r="C923" s="49"/>
      <c r="D923" s="49"/>
      <c r="E923" s="49"/>
      <c r="F923" s="49"/>
      <c r="G923" s="49"/>
      <c r="H923" s="49"/>
    </row>
    <row r="924" spans="2:8" ht="21.05" customHeight="1">
      <c r="B924" s="49"/>
      <c r="C924" s="49"/>
      <c r="D924" s="49"/>
      <c r="E924" s="49"/>
      <c r="F924" s="49"/>
      <c r="G924" s="49"/>
      <c r="H924" s="49"/>
    </row>
    <row r="925" spans="2:8" ht="21.05" customHeight="1">
      <c r="B925" s="49"/>
      <c r="C925" s="49"/>
      <c r="D925" s="49"/>
      <c r="E925" s="49"/>
      <c r="F925" s="49"/>
      <c r="G925" s="49"/>
      <c r="H925" s="49"/>
    </row>
    <row r="926" spans="2:8" ht="21.05" customHeight="1">
      <c r="B926" s="49"/>
      <c r="C926" s="49"/>
      <c r="D926" s="49"/>
      <c r="E926" s="49"/>
      <c r="F926" s="49"/>
      <c r="G926" s="49"/>
      <c r="H926" s="49"/>
    </row>
    <row r="927" spans="2:8" ht="21.05" customHeight="1">
      <c r="B927" s="49"/>
      <c r="C927" s="49"/>
      <c r="D927" s="49"/>
      <c r="E927" s="49"/>
      <c r="F927" s="49"/>
      <c r="G927" s="49"/>
      <c r="H927" s="49"/>
    </row>
    <row r="928" spans="2:8" ht="21.05" customHeight="1">
      <c r="B928" s="49"/>
      <c r="C928" s="49"/>
      <c r="D928" s="49"/>
      <c r="E928" s="49"/>
      <c r="F928" s="49"/>
      <c r="G928" s="49"/>
      <c r="H928" s="49"/>
    </row>
    <row r="929" spans="2:8" ht="21.05" customHeight="1">
      <c r="B929" s="49"/>
      <c r="C929" s="49"/>
      <c r="D929" s="49"/>
      <c r="E929" s="49"/>
      <c r="F929" s="49"/>
      <c r="G929" s="49"/>
      <c r="H929" s="49"/>
    </row>
    <row r="930" spans="2:8" ht="21.05" customHeight="1">
      <c r="B930" s="49"/>
      <c r="C930" s="49"/>
      <c r="D930" s="49"/>
      <c r="E930" s="49"/>
      <c r="F930" s="49"/>
      <c r="G930" s="49"/>
      <c r="H930" s="49"/>
    </row>
    <row r="931" spans="2:8" ht="21.05" customHeight="1">
      <c r="B931" s="49"/>
      <c r="C931" s="49"/>
      <c r="D931" s="49"/>
      <c r="E931" s="49"/>
      <c r="F931" s="49"/>
      <c r="G931" s="49"/>
      <c r="H931" s="49"/>
    </row>
    <row r="932" spans="2:8" ht="21.05" customHeight="1">
      <c r="B932" s="49"/>
      <c r="C932" s="49"/>
      <c r="D932" s="49"/>
      <c r="E932" s="49"/>
      <c r="F932" s="49"/>
      <c r="G932" s="49"/>
      <c r="H932" s="49"/>
    </row>
    <row r="933" spans="2:8" ht="21.05" customHeight="1">
      <c r="B933" s="49"/>
      <c r="C933" s="49"/>
      <c r="D933" s="49"/>
      <c r="E933" s="49"/>
      <c r="F933" s="49"/>
      <c r="G933" s="49"/>
      <c r="H933" s="49"/>
    </row>
    <row r="934" spans="2:8" ht="21.05" customHeight="1">
      <c r="B934" s="49"/>
      <c r="C934" s="49"/>
      <c r="D934" s="49"/>
      <c r="E934" s="49"/>
      <c r="F934" s="49"/>
      <c r="G934" s="49"/>
      <c r="H934" s="49"/>
    </row>
    <row r="935" spans="2:8" ht="21.05" customHeight="1">
      <c r="B935" s="49"/>
      <c r="C935" s="49"/>
      <c r="D935" s="49"/>
      <c r="E935" s="49"/>
      <c r="F935" s="49"/>
      <c r="G935" s="49"/>
      <c r="H935" s="49"/>
    </row>
    <row r="936" spans="2:8" ht="21.05" customHeight="1">
      <c r="B936" s="49"/>
      <c r="C936" s="49"/>
      <c r="D936" s="49"/>
      <c r="E936" s="49"/>
      <c r="F936" s="49"/>
      <c r="G936" s="49"/>
      <c r="H936" s="49"/>
    </row>
    <row r="937" spans="2:8" ht="21.05" customHeight="1">
      <c r="B937" s="49"/>
      <c r="C937" s="49"/>
      <c r="D937" s="49"/>
      <c r="E937" s="49"/>
      <c r="F937" s="49"/>
      <c r="G937" s="49"/>
      <c r="H937" s="49"/>
    </row>
    <row r="938" spans="2:8" ht="21.05" customHeight="1">
      <c r="B938" s="49"/>
      <c r="C938" s="49"/>
      <c r="D938" s="49"/>
      <c r="E938" s="49"/>
      <c r="F938" s="49"/>
      <c r="G938" s="49"/>
      <c r="H938" s="49"/>
    </row>
    <row r="939" spans="2:8" ht="21.05" customHeight="1">
      <c r="B939" s="49"/>
      <c r="C939" s="49"/>
      <c r="D939" s="49"/>
      <c r="E939" s="49"/>
      <c r="F939" s="49"/>
      <c r="G939" s="49"/>
      <c r="H939" s="49"/>
    </row>
    <row r="940" spans="2:8" ht="21.05" customHeight="1">
      <c r="B940" s="49"/>
      <c r="C940" s="49"/>
      <c r="D940" s="49"/>
      <c r="E940" s="49"/>
      <c r="F940" s="49"/>
      <c r="G940" s="49"/>
      <c r="H940" s="49"/>
    </row>
    <row r="941" spans="2:8" ht="21.05" customHeight="1">
      <c r="B941" s="49"/>
      <c r="C941" s="49"/>
      <c r="D941" s="49"/>
      <c r="E941" s="49"/>
      <c r="F941" s="49"/>
      <c r="G941" s="49"/>
      <c r="H941" s="49"/>
    </row>
    <row r="942" spans="2:8" ht="21.05" customHeight="1">
      <c r="B942" s="49"/>
      <c r="C942" s="49"/>
      <c r="D942" s="49"/>
      <c r="E942" s="49"/>
      <c r="F942" s="49"/>
      <c r="G942" s="49"/>
      <c r="H942" s="49"/>
    </row>
    <row r="943" spans="2:8" ht="21.05" customHeight="1">
      <c r="B943" s="49"/>
      <c r="C943" s="49"/>
      <c r="D943" s="49"/>
      <c r="E943" s="49"/>
      <c r="F943" s="49"/>
      <c r="G943" s="49"/>
      <c r="H943" s="49"/>
    </row>
    <row r="944" spans="2:8" ht="21.05" customHeight="1">
      <c r="B944" s="49"/>
      <c r="C944" s="49"/>
      <c r="D944" s="49"/>
      <c r="E944" s="49"/>
      <c r="F944" s="49"/>
      <c r="G944" s="49"/>
      <c r="H944" s="49"/>
    </row>
    <row r="945" spans="2:8" ht="21.05" customHeight="1">
      <c r="B945" s="49"/>
      <c r="C945" s="49"/>
      <c r="D945" s="49"/>
      <c r="E945" s="49"/>
      <c r="F945" s="49"/>
      <c r="G945" s="49"/>
      <c r="H945" s="49"/>
    </row>
    <row r="946" spans="2:8" ht="21.05" customHeight="1">
      <c r="B946" s="49"/>
      <c r="C946" s="49"/>
      <c r="D946" s="49"/>
      <c r="E946" s="49"/>
      <c r="F946" s="49"/>
      <c r="G946" s="49"/>
      <c r="H946" s="49"/>
    </row>
    <row r="947" spans="2:8" ht="21.05" customHeight="1">
      <c r="B947" s="49"/>
      <c r="C947" s="49"/>
      <c r="D947" s="49"/>
      <c r="E947" s="49"/>
      <c r="F947" s="49"/>
      <c r="G947" s="49"/>
      <c r="H947" s="49"/>
    </row>
    <row r="948" spans="2:8" ht="21.05" customHeight="1">
      <c r="B948" s="49"/>
      <c r="C948" s="49"/>
      <c r="D948" s="49"/>
      <c r="E948" s="49"/>
      <c r="F948" s="49"/>
      <c r="G948" s="49"/>
      <c r="H948" s="49"/>
    </row>
    <row r="949" spans="2:8" ht="21.05" customHeight="1">
      <c r="B949" s="49"/>
      <c r="C949" s="49"/>
      <c r="D949" s="49"/>
      <c r="E949" s="49"/>
      <c r="F949" s="49"/>
      <c r="G949" s="49"/>
      <c r="H949" s="49"/>
    </row>
    <row r="950" spans="2:8" ht="21.05" customHeight="1">
      <c r="B950" s="49"/>
      <c r="C950" s="49"/>
      <c r="D950" s="49"/>
      <c r="E950" s="49"/>
      <c r="F950" s="49"/>
      <c r="G950" s="49"/>
      <c r="H950" s="49"/>
    </row>
    <row r="951" spans="2:8" ht="21.05" customHeight="1">
      <c r="B951" s="49"/>
      <c r="C951" s="49"/>
      <c r="D951" s="49"/>
      <c r="E951" s="49"/>
      <c r="F951" s="49"/>
      <c r="G951" s="49"/>
      <c r="H951" s="49"/>
    </row>
    <row r="952" spans="2:8" ht="21.05" customHeight="1">
      <c r="B952" s="49"/>
      <c r="C952" s="49"/>
      <c r="D952" s="49"/>
      <c r="E952" s="49"/>
      <c r="F952" s="49"/>
      <c r="G952" s="49"/>
      <c r="H952" s="49"/>
    </row>
    <row r="953" spans="2:8" ht="21.05" customHeight="1">
      <c r="B953" s="49"/>
      <c r="C953" s="49"/>
      <c r="D953" s="49"/>
      <c r="E953" s="49"/>
      <c r="F953" s="49"/>
      <c r="G953" s="49"/>
      <c r="H953" s="49"/>
    </row>
    <row r="954" spans="2:8" ht="21.05" customHeight="1">
      <c r="B954" s="49"/>
      <c r="C954" s="49"/>
      <c r="D954" s="49"/>
      <c r="E954" s="49"/>
      <c r="F954" s="49"/>
      <c r="G954" s="49"/>
      <c r="H954" s="49"/>
    </row>
    <row r="955" spans="2:8" ht="21.05" customHeight="1">
      <c r="B955" s="49"/>
      <c r="C955" s="49"/>
      <c r="D955" s="49"/>
      <c r="E955" s="49"/>
      <c r="F955" s="49"/>
      <c r="G955" s="49"/>
      <c r="H955" s="49"/>
    </row>
    <row r="956" spans="2:8" ht="21.05" customHeight="1">
      <c r="B956" s="49"/>
      <c r="C956" s="49"/>
      <c r="D956" s="49"/>
      <c r="E956" s="49"/>
      <c r="F956" s="49"/>
      <c r="G956" s="49"/>
      <c r="H956" s="49"/>
    </row>
    <row r="957" spans="2:8" ht="21.05" customHeight="1">
      <c r="B957" s="49"/>
      <c r="C957" s="49"/>
      <c r="D957" s="49"/>
      <c r="E957" s="49"/>
      <c r="F957" s="49"/>
      <c r="G957" s="49"/>
      <c r="H957" s="49"/>
    </row>
    <row r="958" spans="2:8" ht="21.05" customHeight="1">
      <c r="B958" s="49"/>
      <c r="C958" s="49"/>
      <c r="D958" s="49"/>
      <c r="E958" s="49"/>
      <c r="F958" s="49"/>
      <c r="G958" s="49"/>
      <c r="H958" s="49"/>
    </row>
    <row r="959" spans="2:8" ht="21.05" customHeight="1">
      <c r="B959" s="49"/>
      <c r="C959" s="49"/>
      <c r="D959" s="49"/>
      <c r="E959" s="49"/>
      <c r="F959" s="49"/>
      <c r="G959" s="49"/>
      <c r="H959" s="49"/>
    </row>
    <row r="960" spans="2:8" ht="21.05" customHeight="1">
      <c r="B960" s="49"/>
      <c r="C960" s="49"/>
      <c r="D960" s="49"/>
      <c r="E960" s="49"/>
      <c r="F960" s="49"/>
      <c r="G960" s="49"/>
      <c r="H960" s="49"/>
    </row>
    <row r="961" spans="2:8" ht="21.05" customHeight="1">
      <c r="B961" s="49"/>
      <c r="C961" s="49"/>
      <c r="D961" s="49"/>
      <c r="E961" s="49"/>
      <c r="F961" s="49"/>
      <c r="G961" s="49"/>
      <c r="H961" s="49"/>
    </row>
    <row r="962" spans="2:8" ht="21.05" customHeight="1">
      <c r="B962" s="49"/>
      <c r="C962" s="49"/>
      <c r="D962" s="49"/>
      <c r="E962" s="49"/>
      <c r="F962" s="49"/>
      <c r="G962" s="49"/>
      <c r="H962" s="49"/>
    </row>
    <row r="963" spans="2:8" ht="21.05" customHeight="1">
      <c r="B963" s="49"/>
      <c r="C963" s="49"/>
      <c r="D963" s="49"/>
      <c r="E963" s="49"/>
      <c r="F963" s="49"/>
      <c r="G963" s="49"/>
      <c r="H963" s="49"/>
    </row>
    <row r="964" spans="2:8" ht="21.05" customHeight="1">
      <c r="B964" s="49"/>
      <c r="C964" s="49"/>
      <c r="D964" s="49"/>
      <c r="E964" s="49"/>
      <c r="F964" s="49"/>
      <c r="G964" s="49"/>
      <c r="H964" s="49"/>
    </row>
    <row r="965" spans="2:8" ht="21.05" customHeight="1">
      <c r="B965" s="49"/>
      <c r="C965" s="49"/>
      <c r="D965" s="49"/>
      <c r="E965" s="49"/>
      <c r="F965" s="49"/>
      <c r="G965" s="49"/>
      <c r="H965" s="49"/>
    </row>
    <row r="966" spans="2:8" ht="21.05" customHeight="1">
      <c r="B966" s="49"/>
      <c r="C966" s="49"/>
      <c r="D966" s="49"/>
      <c r="E966" s="49"/>
      <c r="F966" s="49"/>
      <c r="G966" s="49"/>
      <c r="H966" s="49"/>
    </row>
    <row r="967" spans="2:8" ht="21.05" customHeight="1">
      <c r="B967" s="49"/>
      <c r="C967" s="49"/>
      <c r="D967" s="49"/>
      <c r="E967" s="49"/>
      <c r="F967" s="49"/>
      <c r="G967" s="49"/>
      <c r="H967" s="49"/>
    </row>
    <row r="968" spans="2:8" ht="21.05" customHeight="1">
      <c r="B968" s="49"/>
      <c r="C968" s="49"/>
      <c r="D968" s="49"/>
      <c r="E968" s="49"/>
      <c r="F968" s="49"/>
      <c r="G968" s="49"/>
      <c r="H968" s="49"/>
    </row>
    <row r="969" spans="2:8" ht="21.05" customHeight="1">
      <c r="B969" s="49"/>
      <c r="C969" s="49"/>
      <c r="D969" s="49"/>
      <c r="E969" s="49"/>
      <c r="F969" s="49"/>
      <c r="G969" s="49"/>
      <c r="H969" s="49"/>
    </row>
    <row r="970" spans="2:8" ht="21.05" customHeight="1">
      <c r="B970" s="49"/>
      <c r="C970" s="49"/>
      <c r="D970" s="49"/>
      <c r="E970" s="49"/>
      <c r="F970" s="49"/>
      <c r="G970" s="49"/>
      <c r="H970" s="49"/>
    </row>
    <row r="971" spans="2:8" ht="21.05" customHeight="1">
      <c r="B971" s="49"/>
      <c r="C971" s="49"/>
      <c r="D971" s="49"/>
      <c r="E971" s="49"/>
      <c r="F971" s="49"/>
      <c r="G971" s="49"/>
      <c r="H971" s="49"/>
    </row>
    <row r="972" spans="2:8" ht="21.05" customHeight="1">
      <c r="B972" s="49"/>
      <c r="C972" s="49"/>
      <c r="D972" s="49"/>
      <c r="E972" s="49"/>
      <c r="F972" s="49"/>
      <c r="G972" s="49"/>
      <c r="H972" s="49"/>
    </row>
    <row r="973" spans="2:8" ht="21.05" customHeight="1">
      <c r="B973" s="49"/>
      <c r="C973" s="49"/>
      <c r="D973" s="49"/>
      <c r="E973" s="49"/>
      <c r="F973" s="49"/>
      <c r="G973" s="49"/>
      <c r="H973" s="49"/>
    </row>
    <row r="974" spans="2:8" ht="21.05" customHeight="1">
      <c r="B974" s="49"/>
      <c r="C974" s="49"/>
      <c r="D974" s="49"/>
      <c r="E974" s="49"/>
      <c r="F974" s="49"/>
      <c r="G974" s="49"/>
      <c r="H974" s="49"/>
    </row>
    <row r="975" spans="2:8" ht="21.05" customHeight="1">
      <c r="B975" s="49"/>
      <c r="C975" s="49"/>
      <c r="D975" s="49"/>
      <c r="E975" s="49"/>
      <c r="F975" s="49"/>
      <c r="G975" s="49"/>
      <c r="H975" s="49"/>
    </row>
    <row r="976" spans="2:8" ht="21.05" customHeight="1">
      <c r="B976" s="49"/>
      <c r="C976" s="49"/>
      <c r="D976" s="49"/>
      <c r="E976" s="49"/>
      <c r="F976" s="49"/>
      <c r="G976" s="49"/>
      <c r="H976" s="49"/>
    </row>
    <row r="977" spans="2:8" ht="21.05" customHeight="1">
      <c r="B977" s="49"/>
      <c r="C977" s="49"/>
      <c r="D977" s="49"/>
      <c r="E977" s="49"/>
      <c r="F977" s="49"/>
      <c r="G977" s="49"/>
      <c r="H977" s="49"/>
    </row>
    <row r="978" spans="2:8" ht="21.05" customHeight="1">
      <c r="B978" s="49"/>
      <c r="C978" s="49"/>
      <c r="D978" s="49"/>
      <c r="E978" s="49"/>
      <c r="F978" s="49"/>
      <c r="G978" s="49"/>
      <c r="H978" s="49"/>
    </row>
    <row r="979" spans="2:8" ht="21.05" customHeight="1">
      <c r="B979" s="49"/>
      <c r="C979" s="49"/>
      <c r="D979" s="49"/>
      <c r="E979" s="49"/>
      <c r="F979" s="49"/>
      <c r="G979" s="49"/>
      <c r="H979" s="49"/>
    </row>
    <row r="980" spans="2:8" ht="21.05" customHeight="1">
      <c r="B980" s="49"/>
      <c r="C980" s="49"/>
      <c r="D980" s="49"/>
      <c r="E980" s="49"/>
      <c r="F980" s="49"/>
      <c r="G980" s="49"/>
      <c r="H980" s="49"/>
    </row>
    <row r="981" spans="2:8" ht="21.05" customHeight="1">
      <c r="B981" s="49"/>
      <c r="C981" s="49"/>
      <c r="D981" s="49"/>
      <c r="E981" s="49"/>
      <c r="F981" s="49"/>
      <c r="G981" s="49"/>
      <c r="H981" s="49"/>
    </row>
    <row r="982" spans="2:8" ht="21.05" customHeight="1">
      <c r="B982" s="49"/>
      <c r="C982" s="49"/>
      <c r="D982" s="49"/>
      <c r="E982" s="49"/>
      <c r="F982" s="49"/>
      <c r="G982" s="49"/>
      <c r="H982" s="49"/>
    </row>
    <row r="983" spans="2:8" ht="21.05" customHeight="1">
      <c r="B983" s="49"/>
      <c r="C983" s="49"/>
      <c r="D983" s="49"/>
      <c r="E983" s="49"/>
      <c r="F983" s="49"/>
      <c r="G983" s="49"/>
      <c r="H983" s="49"/>
    </row>
    <row r="984" spans="2:8" ht="21.05" customHeight="1">
      <c r="B984" s="49"/>
      <c r="C984" s="49"/>
      <c r="D984" s="49"/>
      <c r="E984" s="49"/>
      <c r="F984" s="49"/>
      <c r="G984" s="49"/>
      <c r="H984" s="49"/>
    </row>
    <row r="985" spans="2:8" ht="21.05" customHeight="1">
      <c r="B985" s="49"/>
      <c r="C985" s="49"/>
      <c r="D985" s="49"/>
      <c r="E985" s="49"/>
      <c r="F985" s="49"/>
      <c r="G985" s="49"/>
      <c r="H985" s="49"/>
    </row>
    <row r="986" spans="2:8" ht="21.05" customHeight="1">
      <c r="B986" s="49"/>
      <c r="C986" s="49"/>
      <c r="D986" s="49"/>
      <c r="E986" s="49"/>
      <c r="F986" s="49"/>
      <c r="G986" s="49"/>
      <c r="H986" s="49"/>
    </row>
    <row r="987" spans="2:8" ht="21.05" customHeight="1">
      <c r="B987" s="49"/>
      <c r="C987" s="49"/>
      <c r="D987" s="49"/>
      <c r="E987" s="49"/>
      <c r="F987" s="49"/>
      <c r="G987" s="49"/>
      <c r="H987" s="49"/>
    </row>
    <row r="988" spans="2:8" ht="21.05" customHeight="1">
      <c r="B988" s="49"/>
      <c r="C988" s="49"/>
      <c r="D988" s="49"/>
      <c r="E988" s="49"/>
      <c r="F988" s="49"/>
      <c r="G988" s="49"/>
      <c r="H988" s="49"/>
    </row>
    <row r="989" spans="2:8" ht="21.05" customHeight="1">
      <c r="B989" s="49"/>
      <c r="C989" s="49"/>
      <c r="D989" s="49"/>
      <c r="E989" s="49"/>
      <c r="F989" s="49"/>
      <c r="G989" s="49"/>
      <c r="H989" s="49"/>
    </row>
    <row r="990" spans="2:8" ht="21.05" customHeight="1">
      <c r="B990" s="49"/>
      <c r="C990" s="49"/>
      <c r="D990" s="49"/>
      <c r="E990" s="49"/>
      <c r="F990" s="49"/>
      <c r="G990" s="49"/>
      <c r="H990" s="49"/>
    </row>
    <row r="991" spans="2:8" ht="21.05" customHeight="1">
      <c r="B991" s="49"/>
      <c r="C991" s="49"/>
      <c r="D991" s="49"/>
      <c r="E991" s="49"/>
      <c r="F991" s="49"/>
      <c r="G991" s="49"/>
      <c r="H991" s="49"/>
    </row>
    <row r="992" spans="2:8" ht="21.05" customHeight="1">
      <c r="B992" s="49"/>
      <c r="C992" s="49"/>
      <c r="D992" s="49"/>
      <c r="E992" s="49"/>
      <c r="F992" s="49"/>
      <c r="G992" s="49"/>
      <c r="H992" s="49"/>
    </row>
    <row r="993" spans="2:8" ht="21.05" customHeight="1">
      <c r="B993" s="49"/>
      <c r="C993" s="49"/>
      <c r="D993" s="49"/>
      <c r="E993" s="49"/>
      <c r="F993" s="49"/>
      <c r="G993" s="49"/>
      <c r="H993" s="49"/>
    </row>
    <row r="994" spans="2:8" ht="21.05" customHeight="1">
      <c r="B994" s="49"/>
      <c r="C994" s="49"/>
      <c r="D994" s="49"/>
      <c r="E994" s="49"/>
      <c r="F994" s="49"/>
      <c r="G994" s="49"/>
      <c r="H994" s="49"/>
    </row>
    <row r="995" spans="2:8" ht="21.05" customHeight="1">
      <c r="B995" s="49"/>
      <c r="C995" s="49"/>
      <c r="D995" s="49"/>
      <c r="E995" s="49"/>
      <c r="F995" s="49"/>
      <c r="G995" s="49"/>
      <c r="H995" s="49"/>
    </row>
    <row r="996" spans="2:8" ht="21.05" customHeight="1">
      <c r="B996" s="49"/>
      <c r="C996" s="49"/>
      <c r="D996" s="49"/>
      <c r="E996" s="49"/>
      <c r="F996" s="49"/>
      <c r="G996" s="49"/>
      <c r="H996" s="49"/>
    </row>
    <row r="997" spans="2:8" ht="21.05" customHeight="1">
      <c r="B997" s="49"/>
      <c r="C997" s="49"/>
      <c r="D997" s="49"/>
      <c r="E997" s="49"/>
      <c r="F997" s="49"/>
      <c r="G997" s="49"/>
      <c r="H997" s="49"/>
    </row>
    <row r="998" spans="2:8" ht="21.05" customHeight="1">
      <c r="B998" s="49"/>
      <c r="C998" s="49"/>
      <c r="D998" s="49"/>
      <c r="E998" s="49"/>
      <c r="F998" s="49"/>
      <c r="G998" s="49"/>
      <c r="H998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rightToLeft="1" workbookViewId="0"/>
  </sheetViews>
  <sheetFormatPr defaultColWidth="12.6640625" defaultRowHeight="15.7" customHeight="1"/>
  <cols>
    <col min="1" max="2" width="11.9140625" customWidth="1"/>
    <col min="3" max="3" width="5.6640625" customWidth="1"/>
    <col min="4" max="6" width="14.9140625" customWidth="1"/>
  </cols>
  <sheetData>
    <row r="1" spans="1:27" ht="19.45" customHeight="1">
      <c r="A1" s="1" t="s">
        <v>54</v>
      </c>
      <c r="B1" s="1" t="s">
        <v>128</v>
      </c>
      <c r="C1" s="14"/>
      <c r="D1" s="55" t="s">
        <v>127</v>
      </c>
      <c r="E1" s="55" t="s">
        <v>129</v>
      </c>
      <c r="F1" s="55" t="s">
        <v>130</v>
      </c>
    </row>
    <row r="2" spans="1:27" ht="19.45" customHeight="1">
      <c r="A2" s="56" t="s">
        <v>57</v>
      </c>
      <c r="B2" s="56" t="s">
        <v>57</v>
      </c>
      <c r="C2" s="57"/>
      <c r="D2" s="58" t="s">
        <v>11</v>
      </c>
      <c r="E2" s="56" t="s">
        <v>11</v>
      </c>
      <c r="F2" s="56" t="s">
        <v>11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27" ht="19.45" customHeight="1">
      <c r="A3" s="56" t="s">
        <v>101</v>
      </c>
      <c r="B3" s="56" t="s">
        <v>101</v>
      </c>
      <c r="C3" s="57"/>
      <c r="D3" s="58" t="s">
        <v>12</v>
      </c>
      <c r="E3" s="58" t="s">
        <v>12</v>
      </c>
      <c r="F3" s="58" t="s">
        <v>12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1:27" ht="19.45" customHeight="1">
      <c r="A4" s="56" t="s">
        <v>65</v>
      </c>
      <c r="B4" s="56" t="s">
        <v>65</v>
      </c>
      <c r="C4" s="57"/>
      <c r="D4" s="58" t="s">
        <v>15</v>
      </c>
      <c r="E4" s="58" t="s">
        <v>12</v>
      </c>
      <c r="F4" s="58" t="s">
        <v>12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spans="1:27" ht="19.45" customHeight="1">
      <c r="A5" s="56" t="s">
        <v>90</v>
      </c>
      <c r="B5" s="56" t="s">
        <v>90</v>
      </c>
      <c r="C5" s="57"/>
      <c r="D5" s="58" t="s">
        <v>17</v>
      </c>
      <c r="E5" s="58" t="s">
        <v>12</v>
      </c>
      <c r="F5" s="58" t="s">
        <v>12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spans="1:27" ht="19.45" customHeight="1">
      <c r="A6" s="56" t="s">
        <v>78</v>
      </c>
      <c r="B6" s="56" t="s">
        <v>78</v>
      </c>
      <c r="C6" s="57"/>
      <c r="D6" s="58" t="s">
        <v>21</v>
      </c>
      <c r="E6" s="56" t="s">
        <v>111</v>
      </c>
      <c r="F6" s="56" t="s">
        <v>111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ht="19.45" customHeight="1">
      <c r="A7" s="56" t="s">
        <v>68</v>
      </c>
      <c r="B7" s="56" t="s">
        <v>68</v>
      </c>
      <c r="C7" s="57"/>
      <c r="D7" s="59" t="s">
        <v>22</v>
      </c>
      <c r="E7" s="56" t="s">
        <v>112</v>
      </c>
      <c r="F7" s="56" t="s">
        <v>112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27" ht="19.45" customHeight="1">
      <c r="A8" s="56" t="s">
        <v>92</v>
      </c>
      <c r="B8" s="56" t="s">
        <v>92</v>
      </c>
      <c r="C8" s="57"/>
      <c r="D8" s="59" t="s">
        <v>24</v>
      </c>
      <c r="E8" s="56" t="s">
        <v>112</v>
      </c>
      <c r="F8" s="56" t="s">
        <v>112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ht="19.45" customHeight="1">
      <c r="A9" s="56" t="s">
        <v>72</v>
      </c>
      <c r="B9" s="56" t="s">
        <v>72</v>
      </c>
      <c r="C9" s="57"/>
      <c r="D9" s="59" t="s">
        <v>27</v>
      </c>
      <c r="E9" s="56" t="s">
        <v>112</v>
      </c>
      <c r="F9" s="56" t="s">
        <v>112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7" ht="19.45" customHeight="1">
      <c r="A10" s="56" t="s">
        <v>73</v>
      </c>
      <c r="B10" s="56" t="s">
        <v>73</v>
      </c>
      <c r="C10" s="57"/>
      <c r="D10" s="59" t="s">
        <v>29</v>
      </c>
      <c r="E10" s="56" t="s">
        <v>112</v>
      </c>
      <c r="F10" s="56" t="s">
        <v>112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7" ht="19.45" customHeight="1">
      <c r="A11" s="56" t="s">
        <v>131</v>
      </c>
      <c r="B11" s="56" t="s">
        <v>131</v>
      </c>
      <c r="C11" s="57"/>
      <c r="D11" s="59" t="s">
        <v>31</v>
      </c>
      <c r="E11" s="56" t="s">
        <v>112</v>
      </c>
      <c r="F11" s="56" t="s">
        <v>112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7" ht="19.45" customHeight="1">
      <c r="A12" s="57"/>
      <c r="B12" s="60"/>
      <c r="C12" s="57"/>
      <c r="D12" s="59" t="s">
        <v>33</v>
      </c>
      <c r="E12" s="56" t="s">
        <v>112</v>
      </c>
      <c r="F12" s="56" t="s">
        <v>112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7" ht="19.45" customHeight="1">
      <c r="A13" s="57"/>
      <c r="B13" s="60"/>
      <c r="C13" s="57"/>
      <c r="D13" s="59" t="s">
        <v>36</v>
      </c>
      <c r="E13" s="56" t="s">
        <v>112</v>
      </c>
      <c r="F13" s="56" t="s">
        <v>112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7" ht="19.45" customHeight="1">
      <c r="A14" s="57"/>
      <c r="B14" s="60"/>
      <c r="C14" s="57"/>
      <c r="D14" s="59" t="s">
        <v>39</v>
      </c>
      <c r="E14" s="56" t="s">
        <v>112</v>
      </c>
      <c r="F14" s="56" t="s">
        <v>112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7" ht="19.45" customHeight="1">
      <c r="A15" s="57"/>
      <c r="B15" s="60"/>
      <c r="C15" s="57"/>
      <c r="D15" s="59" t="s">
        <v>45</v>
      </c>
      <c r="E15" s="56" t="s">
        <v>112</v>
      </c>
      <c r="F15" s="56" t="s">
        <v>112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7" ht="19.45" customHeight="1">
      <c r="A16" s="57"/>
      <c r="B16" s="61"/>
      <c r="C16" s="57"/>
      <c r="D16" s="58" t="s">
        <v>49</v>
      </c>
      <c r="E16" s="56" t="s">
        <v>49</v>
      </c>
      <c r="F16" s="56" t="s">
        <v>49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spans="1:27" ht="19.4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spans="1:27" ht="19.4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spans="1:27" ht="19.45" customHeight="1"/>
    <row r="20" spans="1:27" ht="19.45" customHeight="1"/>
    <row r="21" spans="1:27" ht="19.45" customHeight="1"/>
    <row r="22" spans="1:27" ht="19.45" customHeight="1"/>
    <row r="23" spans="1:27" ht="19.45" customHeight="1"/>
    <row r="24" spans="1:27" ht="19.45" customHeight="1"/>
    <row r="25" spans="1:27" ht="19.45" customHeight="1"/>
    <row r="26" spans="1:27" ht="19.45" customHeight="1"/>
    <row r="27" spans="1:27" ht="19.45" customHeight="1"/>
    <row r="28" spans="1:27" ht="19.45" customHeight="1"/>
    <row r="29" spans="1:27" ht="19.45" customHeight="1"/>
    <row r="30" spans="1:27" ht="19.45" customHeight="1"/>
    <row r="31" spans="1:27" ht="19.45" customHeight="1"/>
    <row r="32" spans="1:27" ht="19.45" customHeight="1"/>
    <row r="33" ht="19.45" customHeight="1"/>
    <row r="34" ht="19.45" customHeight="1"/>
    <row r="35" ht="19.45" customHeight="1"/>
    <row r="36" ht="19.45" customHeight="1"/>
    <row r="37" ht="19.45" customHeight="1"/>
    <row r="38" ht="19.45" customHeight="1"/>
    <row r="39" ht="19.45" customHeight="1"/>
    <row r="40" ht="19.45" customHeight="1"/>
    <row r="41" ht="19.45" customHeight="1"/>
    <row r="42" ht="19.45" customHeight="1"/>
    <row r="43" ht="19.45" customHeight="1"/>
    <row r="44" ht="19.45" customHeight="1"/>
    <row r="45" ht="19.45" customHeight="1"/>
    <row r="46" ht="19.45" customHeight="1"/>
    <row r="47" ht="19.45" customHeight="1"/>
    <row r="48" ht="19.45" customHeight="1"/>
    <row r="49" ht="19.45" customHeight="1"/>
    <row r="50" ht="19.45" customHeight="1"/>
    <row r="51" ht="19.45" customHeight="1"/>
    <row r="52" ht="19.45" customHeight="1"/>
    <row r="53" ht="19.45" customHeight="1"/>
    <row r="54" ht="19.45" customHeight="1"/>
    <row r="55" ht="19.45" customHeight="1"/>
    <row r="56" ht="19.45" customHeight="1"/>
    <row r="57" ht="19.45" customHeight="1"/>
    <row r="58" ht="19.45" customHeight="1"/>
    <row r="59" ht="19.45" customHeight="1"/>
    <row r="60" ht="19.45" customHeight="1"/>
    <row r="61" ht="19.45" customHeight="1"/>
    <row r="62" ht="19.45" customHeight="1"/>
    <row r="63" ht="19.45" customHeight="1"/>
    <row r="64" ht="19.45" customHeight="1"/>
    <row r="65" ht="19.45" customHeight="1"/>
    <row r="66" ht="19.45" customHeight="1"/>
    <row r="67" ht="19.45" customHeight="1"/>
    <row r="68" ht="19.45" customHeight="1"/>
    <row r="69" ht="19.45" customHeight="1"/>
    <row r="70" ht="19.45" customHeight="1"/>
    <row r="71" ht="19.45" customHeight="1"/>
    <row r="72" ht="19.45" customHeight="1"/>
    <row r="73" ht="19.45" customHeight="1"/>
    <row r="74" ht="19.45" customHeight="1"/>
    <row r="75" ht="19.45" customHeight="1"/>
    <row r="76" ht="19.45" customHeight="1"/>
    <row r="77" ht="19.45" customHeight="1"/>
    <row r="78" ht="19.45" customHeight="1"/>
    <row r="79" ht="19.45" customHeight="1"/>
    <row r="80" ht="19.45" customHeight="1"/>
    <row r="81" ht="19.45" customHeight="1"/>
    <row r="82" ht="19.45" customHeight="1"/>
    <row r="83" ht="19.45" customHeight="1"/>
    <row r="84" ht="19.45" customHeight="1"/>
    <row r="85" ht="19.45" customHeight="1"/>
    <row r="86" ht="19.45" customHeight="1"/>
    <row r="87" ht="19.45" customHeight="1"/>
    <row r="88" ht="19.45" customHeight="1"/>
    <row r="89" ht="19.45" customHeight="1"/>
    <row r="90" ht="19.45" customHeight="1"/>
    <row r="91" ht="19.45" customHeight="1"/>
    <row r="92" ht="19.45" customHeight="1"/>
    <row r="93" ht="19.45" customHeight="1"/>
    <row r="94" ht="19.45" customHeight="1"/>
    <row r="95" ht="19.45" customHeight="1"/>
    <row r="96" ht="19.45" customHeight="1"/>
    <row r="97" ht="19.45" customHeight="1"/>
    <row r="98" ht="19.45" customHeight="1"/>
    <row r="99" ht="19.45" customHeight="1"/>
    <row r="100" ht="19.45" customHeight="1"/>
    <row r="101" ht="19.45" customHeight="1"/>
    <row r="102" ht="19.45" customHeight="1"/>
    <row r="103" ht="19.45" customHeight="1"/>
    <row r="104" ht="19.45" customHeight="1"/>
    <row r="105" ht="19.45" customHeight="1"/>
    <row r="106" ht="19.45" customHeight="1"/>
    <row r="107" ht="19.45" customHeight="1"/>
    <row r="108" ht="19.45" customHeight="1"/>
    <row r="109" ht="19.45" customHeight="1"/>
    <row r="110" ht="19.45" customHeight="1"/>
    <row r="111" ht="19.45" customHeight="1"/>
    <row r="112" ht="19.45" customHeight="1"/>
    <row r="113" ht="19.45" customHeight="1"/>
    <row r="114" ht="19.45" customHeight="1"/>
    <row r="115" ht="19.45" customHeight="1"/>
    <row r="116" ht="19.45" customHeight="1"/>
    <row r="117" ht="19.45" customHeight="1"/>
    <row r="118" ht="19.45" customHeight="1"/>
    <row r="119" ht="19.45" customHeight="1"/>
    <row r="120" ht="19.45" customHeight="1"/>
    <row r="121" ht="19.45" customHeight="1"/>
    <row r="122" ht="19.45" customHeight="1"/>
    <row r="123" ht="19.45" customHeight="1"/>
    <row r="124" ht="19.45" customHeight="1"/>
    <row r="125" ht="19.45" customHeight="1"/>
    <row r="126" ht="19.45" customHeight="1"/>
    <row r="127" ht="19.45" customHeight="1"/>
    <row r="128" ht="19.45" customHeight="1"/>
    <row r="129" ht="19.45" customHeight="1"/>
    <row r="130" ht="19.45" customHeight="1"/>
    <row r="131" ht="19.45" customHeight="1"/>
    <row r="132" ht="19.45" customHeight="1"/>
    <row r="133" ht="19.45" customHeight="1"/>
    <row r="134" ht="19.45" customHeight="1"/>
    <row r="135" ht="19.45" customHeight="1"/>
    <row r="136" ht="19.45" customHeight="1"/>
    <row r="137" ht="19.45" customHeight="1"/>
    <row r="138" ht="19.45" customHeight="1"/>
    <row r="139" ht="19.45" customHeight="1"/>
    <row r="140" ht="19.45" customHeight="1"/>
    <row r="141" ht="19.45" customHeight="1"/>
    <row r="142" ht="19.45" customHeight="1"/>
    <row r="143" ht="19.45" customHeight="1"/>
    <row r="144" ht="19.45" customHeight="1"/>
    <row r="145" ht="19.45" customHeight="1"/>
    <row r="146" ht="19.45" customHeight="1"/>
    <row r="147" ht="19.45" customHeight="1"/>
    <row r="148" ht="19.45" customHeight="1"/>
    <row r="149" ht="19.45" customHeight="1"/>
    <row r="150" ht="19.45" customHeight="1"/>
    <row r="151" ht="19.45" customHeight="1"/>
    <row r="152" ht="19.45" customHeight="1"/>
    <row r="153" ht="19.45" customHeight="1"/>
    <row r="154" ht="19.45" customHeight="1"/>
    <row r="155" ht="19.45" customHeight="1"/>
    <row r="156" ht="19.45" customHeight="1"/>
    <row r="157" ht="19.45" customHeight="1"/>
    <row r="158" ht="19.45" customHeight="1"/>
    <row r="159" ht="19.45" customHeight="1"/>
    <row r="160" ht="19.45" customHeight="1"/>
    <row r="161" ht="19.45" customHeight="1"/>
    <row r="162" ht="19.45" customHeight="1"/>
    <row r="163" ht="19.45" customHeight="1"/>
    <row r="164" ht="19.45" customHeight="1"/>
    <row r="165" ht="19.45" customHeight="1"/>
    <row r="166" ht="19.45" customHeight="1"/>
    <row r="167" ht="19.45" customHeight="1"/>
    <row r="168" ht="19.45" customHeight="1"/>
    <row r="169" ht="19.45" customHeight="1"/>
    <row r="170" ht="19.45" customHeight="1"/>
    <row r="171" ht="19.45" customHeight="1"/>
    <row r="172" ht="19.45" customHeight="1"/>
    <row r="173" ht="19.45" customHeight="1"/>
    <row r="174" ht="19.45" customHeight="1"/>
    <row r="175" ht="19.45" customHeight="1"/>
    <row r="176" ht="19.45" customHeight="1"/>
    <row r="177" ht="19.45" customHeight="1"/>
    <row r="178" ht="19.45" customHeight="1"/>
    <row r="179" ht="19.45" customHeight="1"/>
    <row r="180" ht="19.45" customHeight="1"/>
    <row r="181" ht="19.45" customHeight="1"/>
    <row r="182" ht="19.45" customHeight="1"/>
    <row r="183" ht="19.45" customHeight="1"/>
    <row r="184" ht="19.45" customHeight="1"/>
    <row r="185" ht="19.45" customHeight="1"/>
    <row r="186" ht="19.45" customHeight="1"/>
    <row r="187" ht="19.45" customHeight="1"/>
    <row r="188" ht="19.45" customHeight="1"/>
    <row r="189" ht="19.45" customHeight="1"/>
    <row r="190" ht="19.45" customHeight="1"/>
    <row r="191" ht="19.45" customHeight="1"/>
    <row r="192" ht="19.45" customHeight="1"/>
    <row r="193" ht="19.45" customHeight="1"/>
    <row r="194" ht="19.45" customHeight="1"/>
    <row r="195" ht="19.45" customHeight="1"/>
    <row r="196" ht="19.45" customHeight="1"/>
    <row r="197" ht="19.45" customHeight="1"/>
    <row r="198" ht="19.45" customHeight="1"/>
    <row r="199" ht="19.45" customHeight="1"/>
    <row r="200" ht="19.45" customHeight="1"/>
    <row r="201" ht="19.45" customHeight="1"/>
    <row r="202" ht="19.45" customHeight="1"/>
    <row r="203" ht="19.45" customHeight="1"/>
    <row r="204" ht="19.45" customHeight="1"/>
    <row r="205" ht="19.45" customHeight="1"/>
    <row r="206" ht="19.45" customHeight="1"/>
    <row r="207" ht="19.45" customHeight="1"/>
    <row r="208" ht="19.45" customHeight="1"/>
    <row r="209" ht="19.45" customHeight="1"/>
    <row r="210" ht="19.45" customHeight="1"/>
    <row r="211" ht="19.45" customHeight="1"/>
    <row r="212" ht="19.45" customHeight="1"/>
    <row r="213" ht="19.45" customHeight="1"/>
    <row r="214" ht="19.45" customHeight="1"/>
    <row r="215" ht="19.45" customHeight="1"/>
    <row r="216" ht="19.45" customHeight="1"/>
    <row r="217" ht="19.45" customHeight="1"/>
    <row r="218" ht="19.45" customHeight="1"/>
    <row r="219" ht="19.45" customHeight="1"/>
    <row r="220" ht="19.45" customHeight="1"/>
    <row r="221" ht="19.45" customHeight="1"/>
    <row r="222" ht="19.45" customHeight="1"/>
    <row r="223" ht="19.45" customHeight="1"/>
    <row r="224" ht="19.45" customHeight="1"/>
    <row r="225" ht="19.45" customHeight="1"/>
    <row r="226" ht="19.45" customHeight="1"/>
    <row r="227" ht="19.45" customHeight="1"/>
    <row r="228" ht="19.45" customHeight="1"/>
    <row r="229" ht="19.45" customHeight="1"/>
    <row r="230" ht="19.45" customHeight="1"/>
    <row r="231" ht="19.45" customHeight="1"/>
    <row r="232" ht="19.45" customHeight="1"/>
    <row r="233" ht="19.45" customHeight="1"/>
    <row r="234" ht="19.45" customHeight="1"/>
    <row r="235" ht="19.45" customHeight="1"/>
    <row r="236" ht="19.45" customHeight="1"/>
    <row r="237" ht="19.45" customHeight="1"/>
    <row r="238" ht="19.45" customHeight="1"/>
    <row r="239" ht="19.45" customHeight="1"/>
    <row r="240" ht="19.45" customHeight="1"/>
    <row r="241" ht="19.45" customHeight="1"/>
    <row r="242" ht="19.45" customHeight="1"/>
    <row r="243" ht="19.45" customHeight="1"/>
    <row r="244" ht="19.45" customHeight="1"/>
    <row r="245" ht="19.45" customHeight="1"/>
    <row r="246" ht="19.45" customHeight="1"/>
    <row r="247" ht="19.45" customHeight="1"/>
    <row r="248" ht="19.45" customHeight="1"/>
    <row r="249" ht="19.45" customHeight="1"/>
    <row r="250" ht="19.45" customHeight="1"/>
    <row r="251" ht="19.45" customHeight="1"/>
    <row r="252" ht="19.45" customHeight="1"/>
    <row r="253" ht="19.45" customHeight="1"/>
    <row r="254" ht="19.45" customHeight="1"/>
    <row r="255" ht="19.45" customHeight="1"/>
    <row r="256" ht="19.45" customHeight="1"/>
    <row r="257" ht="19.45" customHeight="1"/>
    <row r="258" ht="19.45" customHeight="1"/>
    <row r="259" ht="19.45" customHeight="1"/>
    <row r="260" ht="19.45" customHeight="1"/>
    <row r="261" ht="19.45" customHeight="1"/>
    <row r="262" ht="19.45" customHeight="1"/>
    <row r="263" ht="19.45" customHeight="1"/>
    <row r="264" ht="19.45" customHeight="1"/>
    <row r="265" ht="19.45" customHeight="1"/>
    <row r="266" ht="19.45" customHeight="1"/>
    <row r="267" ht="19.45" customHeight="1"/>
    <row r="268" ht="19.45" customHeight="1"/>
    <row r="269" ht="19.45" customHeight="1"/>
    <row r="270" ht="19.45" customHeight="1"/>
    <row r="271" ht="19.45" customHeight="1"/>
    <row r="272" ht="19.45" customHeight="1"/>
    <row r="273" ht="19.45" customHeight="1"/>
    <row r="274" ht="19.45" customHeight="1"/>
    <row r="275" ht="19.45" customHeight="1"/>
    <row r="276" ht="19.45" customHeight="1"/>
    <row r="277" ht="19.45" customHeight="1"/>
    <row r="278" ht="19.45" customHeight="1"/>
    <row r="279" ht="19.45" customHeight="1"/>
    <row r="280" ht="19.45" customHeight="1"/>
    <row r="281" ht="19.45" customHeight="1"/>
    <row r="282" ht="19.45" customHeight="1"/>
    <row r="283" ht="19.45" customHeight="1"/>
    <row r="284" ht="19.45" customHeight="1"/>
    <row r="285" ht="19.45" customHeight="1"/>
    <row r="286" ht="19.45" customHeight="1"/>
    <row r="287" ht="19.45" customHeight="1"/>
    <row r="288" ht="19.45" customHeight="1"/>
    <row r="289" ht="19.45" customHeight="1"/>
    <row r="290" ht="19.45" customHeight="1"/>
    <row r="291" ht="19.45" customHeight="1"/>
    <row r="292" ht="19.45" customHeight="1"/>
    <row r="293" ht="19.45" customHeight="1"/>
    <row r="294" ht="19.45" customHeight="1"/>
    <row r="295" ht="19.45" customHeight="1"/>
    <row r="296" ht="19.45" customHeight="1"/>
    <row r="297" ht="19.45" customHeight="1"/>
    <row r="298" ht="19.45" customHeight="1"/>
    <row r="299" ht="19.45" customHeight="1"/>
    <row r="300" ht="19.45" customHeight="1"/>
    <row r="301" ht="19.45" customHeight="1"/>
    <row r="302" ht="19.45" customHeight="1"/>
    <row r="303" ht="19.45" customHeight="1"/>
    <row r="304" ht="19.45" customHeight="1"/>
    <row r="305" ht="19.45" customHeight="1"/>
    <row r="306" ht="19.45" customHeight="1"/>
    <row r="307" ht="19.45" customHeight="1"/>
    <row r="308" ht="19.45" customHeight="1"/>
    <row r="309" ht="19.45" customHeight="1"/>
    <row r="310" ht="19.45" customHeight="1"/>
    <row r="311" ht="19.45" customHeight="1"/>
    <row r="312" ht="19.45" customHeight="1"/>
    <row r="313" ht="19.45" customHeight="1"/>
    <row r="314" ht="19.45" customHeight="1"/>
    <row r="315" ht="19.45" customHeight="1"/>
    <row r="316" ht="19.45" customHeight="1"/>
    <row r="317" ht="19.45" customHeight="1"/>
    <row r="318" ht="19.45" customHeight="1"/>
    <row r="319" ht="19.45" customHeight="1"/>
    <row r="320" ht="19.45" customHeight="1"/>
    <row r="321" ht="19.45" customHeight="1"/>
    <row r="322" ht="19.45" customHeight="1"/>
    <row r="323" ht="19.45" customHeight="1"/>
    <row r="324" ht="19.45" customHeight="1"/>
    <row r="325" ht="19.45" customHeight="1"/>
    <row r="326" ht="19.45" customHeight="1"/>
    <row r="327" ht="19.45" customHeight="1"/>
    <row r="328" ht="19.45" customHeight="1"/>
    <row r="329" ht="19.45" customHeight="1"/>
    <row r="330" ht="19.45" customHeight="1"/>
    <row r="331" ht="19.45" customHeight="1"/>
    <row r="332" ht="19.45" customHeight="1"/>
    <row r="333" ht="19.45" customHeight="1"/>
    <row r="334" ht="19.45" customHeight="1"/>
    <row r="335" ht="19.45" customHeight="1"/>
    <row r="336" ht="19.45" customHeight="1"/>
    <row r="337" ht="19.45" customHeight="1"/>
    <row r="338" ht="19.45" customHeight="1"/>
    <row r="339" ht="19.45" customHeight="1"/>
    <row r="340" ht="19.45" customHeight="1"/>
    <row r="341" ht="19.45" customHeight="1"/>
    <row r="342" ht="19.45" customHeight="1"/>
    <row r="343" ht="19.45" customHeight="1"/>
    <row r="344" ht="19.45" customHeight="1"/>
    <row r="345" ht="19.45" customHeight="1"/>
    <row r="346" ht="19.45" customHeight="1"/>
    <row r="347" ht="19.45" customHeight="1"/>
    <row r="348" ht="19.45" customHeight="1"/>
    <row r="349" ht="19.45" customHeight="1"/>
    <row r="350" ht="19.45" customHeight="1"/>
    <row r="351" ht="19.45" customHeight="1"/>
    <row r="352" ht="19.45" customHeight="1"/>
    <row r="353" ht="19.45" customHeight="1"/>
    <row r="354" ht="19.45" customHeight="1"/>
    <row r="355" ht="19.45" customHeight="1"/>
    <row r="356" ht="19.45" customHeight="1"/>
    <row r="357" ht="19.45" customHeight="1"/>
    <row r="358" ht="19.45" customHeight="1"/>
    <row r="359" ht="19.45" customHeight="1"/>
    <row r="360" ht="19.45" customHeight="1"/>
    <row r="361" ht="19.45" customHeight="1"/>
    <row r="362" ht="19.45" customHeight="1"/>
    <row r="363" ht="19.45" customHeight="1"/>
    <row r="364" ht="19.45" customHeight="1"/>
    <row r="365" ht="19.45" customHeight="1"/>
    <row r="366" ht="19.45" customHeight="1"/>
    <row r="367" ht="19.45" customHeight="1"/>
    <row r="368" ht="19.45" customHeight="1"/>
    <row r="369" ht="19.45" customHeight="1"/>
    <row r="370" ht="19.45" customHeight="1"/>
    <row r="371" ht="19.45" customHeight="1"/>
    <row r="372" ht="19.45" customHeight="1"/>
    <row r="373" ht="19.45" customHeight="1"/>
    <row r="374" ht="19.45" customHeight="1"/>
    <row r="375" ht="19.45" customHeight="1"/>
    <row r="376" ht="19.45" customHeight="1"/>
    <row r="377" ht="19.45" customHeight="1"/>
    <row r="378" ht="19.45" customHeight="1"/>
    <row r="379" ht="19.45" customHeight="1"/>
    <row r="380" ht="19.45" customHeight="1"/>
    <row r="381" ht="19.45" customHeight="1"/>
    <row r="382" ht="19.45" customHeight="1"/>
    <row r="383" ht="19.45" customHeight="1"/>
    <row r="384" ht="19.45" customHeight="1"/>
    <row r="385" ht="19.45" customHeight="1"/>
    <row r="386" ht="19.45" customHeight="1"/>
    <row r="387" ht="19.45" customHeight="1"/>
    <row r="388" ht="19.45" customHeight="1"/>
    <row r="389" ht="19.45" customHeight="1"/>
    <row r="390" ht="19.45" customHeight="1"/>
    <row r="391" ht="19.45" customHeight="1"/>
    <row r="392" ht="19.45" customHeight="1"/>
    <row r="393" ht="19.45" customHeight="1"/>
    <row r="394" ht="19.45" customHeight="1"/>
    <row r="395" ht="19.45" customHeight="1"/>
    <row r="396" ht="19.45" customHeight="1"/>
    <row r="397" ht="19.45" customHeight="1"/>
    <row r="398" ht="19.45" customHeight="1"/>
    <row r="399" ht="19.45" customHeight="1"/>
    <row r="400" ht="19.45" customHeight="1"/>
    <row r="401" ht="19.45" customHeight="1"/>
    <row r="402" ht="19.45" customHeight="1"/>
    <row r="403" ht="19.45" customHeight="1"/>
    <row r="404" ht="19.45" customHeight="1"/>
    <row r="405" ht="19.45" customHeight="1"/>
    <row r="406" ht="19.45" customHeight="1"/>
    <row r="407" ht="19.45" customHeight="1"/>
    <row r="408" ht="19.45" customHeight="1"/>
    <row r="409" ht="19.45" customHeight="1"/>
    <row r="410" ht="19.45" customHeight="1"/>
    <row r="411" ht="19.45" customHeight="1"/>
    <row r="412" ht="19.45" customHeight="1"/>
    <row r="413" ht="19.45" customHeight="1"/>
    <row r="414" ht="19.45" customHeight="1"/>
    <row r="415" ht="19.45" customHeight="1"/>
    <row r="416" ht="19.45" customHeight="1"/>
    <row r="417" ht="19.45" customHeight="1"/>
    <row r="418" ht="19.45" customHeight="1"/>
    <row r="419" ht="19.45" customHeight="1"/>
    <row r="420" ht="19.45" customHeight="1"/>
    <row r="421" ht="19.45" customHeight="1"/>
    <row r="422" ht="19.45" customHeight="1"/>
    <row r="423" ht="19.45" customHeight="1"/>
    <row r="424" ht="19.45" customHeight="1"/>
    <row r="425" ht="19.45" customHeight="1"/>
    <row r="426" ht="19.45" customHeight="1"/>
    <row r="427" ht="19.45" customHeight="1"/>
    <row r="428" ht="19.45" customHeight="1"/>
    <row r="429" ht="19.45" customHeight="1"/>
    <row r="430" ht="19.45" customHeight="1"/>
    <row r="431" ht="19.45" customHeight="1"/>
    <row r="432" ht="19.45" customHeight="1"/>
    <row r="433" ht="19.45" customHeight="1"/>
    <row r="434" ht="19.45" customHeight="1"/>
    <row r="435" ht="19.45" customHeight="1"/>
    <row r="436" ht="19.45" customHeight="1"/>
    <row r="437" ht="19.45" customHeight="1"/>
    <row r="438" ht="19.45" customHeight="1"/>
    <row r="439" ht="19.45" customHeight="1"/>
    <row r="440" ht="19.45" customHeight="1"/>
    <row r="441" ht="19.45" customHeight="1"/>
    <row r="442" ht="19.45" customHeight="1"/>
    <row r="443" ht="19.45" customHeight="1"/>
    <row r="444" ht="19.45" customHeight="1"/>
    <row r="445" ht="19.45" customHeight="1"/>
    <row r="446" ht="19.45" customHeight="1"/>
    <row r="447" ht="19.45" customHeight="1"/>
    <row r="448" ht="19.45" customHeight="1"/>
    <row r="449" ht="19.45" customHeight="1"/>
    <row r="450" ht="19.45" customHeight="1"/>
    <row r="451" ht="19.45" customHeight="1"/>
    <row r="452" ht="19.45" customHeight="1"/>
    <row r="453" ht="19.45" customHeight="1"/>
    <row r="454" ht="19.45" customHeight="1"/>
    <row r="455" ht="19.45" customHeight="1"/>
    <row r="456" ht="19.45" customHeight="1"/>
    <row r="457" ht="19.45" customHeight="1"/>
    <row r="458" ht="19.45" customHeight="1"/>
    <row r="459" ht="19.45" customHeight="1"/>
    <row r="460" ht="19.45" customHeight="1"/>
    <row r="461" ht="19.45" customHeight="1"/>
    <row r="462" ht="19.45" customHeight="1"/>
    <row r="463" ht="19.45" customHeight="1"/>
    <row r="464" ht="19.45" customHeight="1"/>
    <row r="465" ht="19.45" customHeight="1"/>
    <row r="466" ht="19.45" customHeight="1"/>
    <row r="467" ht="19.45" customHeight="1"/>
    <row r="468" ht="19.45" customHeight="1"/>
    <row r="469" ht="19.45" customHeight="1"/>
    <row r="470" ht="19.45" customHeight="1"/>
    <row r="471" ht="19.45" customHeight="1"/>
    <row r="472" ht="19.45" customHeight="1"/>
    <row r="473" ht="19.45" customHeight="1"/>
    <row r="474" ht="19.45" customHeight="1"/>
    <row r="475" ht="19.45" customHeight="1"/>
    <row r="476" ht="19.45" customHeight="1"/>
    <row r="477" ht="19.45" customHeight="1"/>
    <row r="478" ht="19.45" customHeight="1"/>
    <row r="479" ht="19.45" customHeight="1"/>
    <row r="480" ht="19.45" customHeight="1"/>
    <row r="481" ht="19.45" customHeight="1"/>
    <row r="482" ht="19.45" customHeight="1"/>
    <row r="483" ht="19.45" customHeight="1"/>
    <row r="484" ht="19.45" customHeight="1"/>
    <row r="485" ht="19.45" customHeight="1"/>
    <row r="486" ht="19.45" customHeight="1"/>
    <row r="487" ht="19.45" customHeight="1"/>
    <row r="488" ht="19.45" customHeight="1"/>
    <row r="489" ht="19.45" customHeight="1"/>
    <row r="490" ht="19.45" customHeight="1"/>
    <row r="491" ht="19.45" customHeight="1"/>
    <row r="492" ht="19.45" customHeight="1"/>
    <row r="493" ht="19.45" customHeight="1"/>
    <row r="494" ht="19.45" customHeight="1"/>
    <row r="495" ht="19.45" customHeight="1"/>
    <row r="496" ht="19.45" customHeight="1"/>
    <row r="497" ht="19.45" customHeight="1"/>
    <row r="498" ht="19.45" customHeight="1"/>
    <row r="499" ht="19.45" customHeight="1"/>
    <row r="500" ht="19.45" customHeight="1"/>
    <row r="501" ht="19.45" customHeight="1"/>
    <row r="502" ht="19.45" customHeight="1"/>
    <row r="503" ht="19.45" customHeight="1"/>
    <row r="504" ht="19.45" customHeight="1"/>
    <row r="505" ht="19.45" customHeight="1"/>
    <row r="506" ht="19.45" customHeight="1"/>
    <row r="507" ht="19.45" customHeight="1"/>
    <row r="508" ht="19.45" customHeight="1"/>
    <row r="509" ht="19.45" customHeight="1"/>
    <row r="510" ht="19.45" customHeight="1"/>
    <row r="511" ht="19.45" customHeight="1"/>
    <row r="512" ht="19.45" customHeight="1"/>
    <row r="513" ht="19.45" customHeight="1"/>
    <row r="514" ht="19.45" customHeight="1"/>
    <row r="515" ht="19.45" customHeight="1"/>
    <row r="516" ht="19.45" customHeight="1"/>
    <row r="517" ht="19.45" customHeight="1"/>
    <row r="518" ht="19.45" customHeight="1"/>
    <row r="519" ht="19.45" customHeight="1"/>
    <row r="520" ht="19.45" customHeight="1"/>
    <row r="521" ht="19.45" customHeight="1"/>
    <row r="522" ht="19.45" customHeight="1"/>
    <row r="523" ht="19.45" customHeight="1"/>
    <row r="524" ht="19.45" customHeight="1"/>
    <row r="525" ht="19.45" customHeight="1"/>
    <row r="526" ht="19.45" customHeight="1"/>
    <row r="527" ht="19.45" customHeight="1"/>
    <row r="528" ht="19.45" customHeight="1"/>
    <row r="529" ht="19.45" customHeight="1"/>
    <row r="530" ht="19.45" customHeight="1"/>
    <row r="531" ht="19.45" customHeight="1"/>
    <row r="532" ht="19.45" customHeight="1"/>
    <row r="533" ht="19.45" customHeight="1"/>
    <row r="534" ht="19.45" customHeight="1"/>
    <row r="535" ht="19.45" customHeight="1"/>
    <row r="536" ht="19.45" customHeight="1"/>
    <row r="537" ht="19.45" customHeight="1"/>
    <row r="538" ht="19.45" customHeight="1"/>
    <row r="539" ht="19.45" customHeight="1"/>
    <row r="540" ht="19.45" customHeight="1"/>
    <row r="541" ht="19.45" customHeight="1"/>
    <row r="542" ht="19.45" customHeight="1"/>
    <row r="543" ht="19.45" customHeight="1"/>
    <row r="544" ht="19.45" customHeight="1"/>
    <row r="545" ht="19.45" customHeight="1"/>
    <row r="546" ht="19.45" customHeight="1"/>
    <row r="547" ht="19.45" customHeight="1"/>
    <row r="548" ht="19.45" customHeight="1"/>
    <row r="549" ht="19.45" customHeight="1"/>
    <row r="550" ht="19.45" customHeight="1"/>
    <row r="551" ht="19.45" customHeight="1"/>
    <row r="552" ht="19.45" customHeight="1"/>
    <row r="553" ht="19.45" customHeight="1"/>
    <row r="554" ht="19.45" customHeight="1"/>
    <row r="555" ht="19.45" customHeight="1"/>
    <row r="556" ht="19.45" customHeight="1"/>
    <row r="557" ht="19.45" customHeight="1"/>
    <row r="558" ht="19.45" customHeight="1"/>
    <row r="559" ht="19.45" customHeight="1"/>
    <row r="560" ht="19.45" customHeight="1"/>
    <row r="561" ht="19.45" customHeight="1"/>
    <row r="562" ht="19.45" customHeight="1"/>
    <row r="563" ht="19.45" customHeight="1"/>
    <row r="564" ht="19.45" customHeight="1"/>
    <row r="565" ht="19.45" customHeight="1"/>
    <row r="566" ht="19.45" customHeight="1"/>
    <row r="567" ht="19.45" customHeight="1"/>
    <row r="568" ht="19.45" customHeight="1"/>
    <row r="569" ht="19.45" customHeight="1"/>
    <row r="570" ht="19.45" customHeight="1"/>
    <row r="571" ht="19.45" customHeight="1"/>
    <row r="572" ht="19.45" customHeight="1"/>
    <row r="573" ht="19.45" customHeight="1"/>
    <row r="574" ht="19.45" customHeight="1"/>
    <row r="575" ht="19.45" customHeight="1"/>
    <row r="576" ht="19.45" customHeight="1"/>
    <row r="577" ht="19.45" customHeight="1"/>
    <row r="578" ht="19.45" customHeight="1"/>
    <row r="579" ht="19.45" customHeight="1"/>
    <row r="580" ht="19.45" customHeight="1"/>
    <row r="581" ht="19.45" customHeight="1"/>
    <row r="582" ht="19.45" customHeight="1"/>
    <row r="583" ht="19.45" customHeight="1"/>
    <row r="584" ht="19.45" customHeight="1"/>
    <row r="585" ht="19.45" customHeight="1"/>
    <row r="586" ht="19.45" customHeight="1"/>
    <row r="587" ht="19.45" customHeight="1"/>
    <row r="588" ht="19.45" customHeight="1"/>
    <row r="589" ht="19.45" customHeight="1"/>
    <row r="590" ht="19.45" customHeight="1"/>
    <row r="591" ht="19.45" customHeight="1"/>
    <row r="592" ht="19.45" customHeight="1"/>
    <row r="593" ht="19.45" customHeight="1"/>
    <row r="594" ht="19.45" customHeight="1"/>
    <row r="595" ht="19.45" customHeight="1"/>
    <row r="596" ht="19.45" customHeight="1"/>
    <row r="597" ht="19.45" customHeight="1"/>
    <row r="598" ht="19.45" customHeight="1"/>
    <row r="599" ht="19.45" customHeight="1"/>
    <row r="600" ht="19.45" customHeight="1"/>
    <row r="601" ht="19.45" customHeight="1"/>
    <row r="602" ht="19.45" customHeight="1"/>
    <row r="603" ht="19.45" customHeight="1"/>
    <row r="604" ht="19.45" customHeight="1"/>
    <row r="605" ht="19.45" customHeight="1"/>
    <row r="606" ht="19.45" customHeight="1"/>
    <row r="607" ht="19.45" customHeight="1"/>
    <row r="608" ht="19.45" customHeight="1"/>
    <row r="609" ht="19.45" customHeight="1"/>
    <row r="610" ht="19.45" customHeight="1"/>
    <row r="611" ht="19.45" customHeight="1"/>
    <row r="612" ht="19.45" customHeight="1"/>
    <row r="613" ht="19.45" customHeight="1"/>
    <row r="614" ht="19.45" customHeight="1"/>
    <row r="615" ht="19.45" customHeight="1"/>
    <row r="616" ht="19.45" customHeight="1"/>
    <row r="617" ht="19.45" customHeight="1"/>
    <row r="618" ht="19.45" customHeight="1"/>
    <row r="619" ht="19.45" customHeight="1"/>
    <row r="620" ht="19.45" customHeight="1"/>
    <row r="621" ht="19.45" customHeight="1"/>
    <row r="622" ht="19.45" customHeight="1"/>
    <row r="623" ht="19.45" customHeight="1"/>
    <row r="624" ht="19.45" customHeight="1"/>
    <row r="625" ht="19.45" customHeight="1"/>
    <row r="626" ht="19.45" customHeight="1"/>
    <row r="627" ht="19.45" customHeight="1"/>
    <row r="628" ht="19.45" customHeight="1"/>
    <row r="629" ht="19.45" customHeight="1"/>
    <row r="630" ht="19.45" customHeight="1"/>
    <row r="631" ht="19.45" customHeight="1"/>
    <row r="632" ht="19.45" customHeight="1"/>
    <row r="633" ht="19.45" customHeight="1"/>
    <row r="634" ht="19.45" customHeight="1"/>
    <row r="635" ht="19.45" customHeight="1"/>
    <row r="636" ht="19.45" customHeight="1"/>
    <row r="637" ht="19.45" customHeight="1"/>
    <row r="638" ht="19.45" customHeight="1"/>
    <row r="639" ht="19.45" customHeight="1"/>
    <row r="640" ht="19.45" customHeight="1"/>
    <row r="641" ht="19.45" customHeight="1"/>
    <row r="642" ht="19.45" customHeight="1"/>
    <row r="643" ht="19.45" customHeight="1"/>
    <row r="644" ht="19.45" customHeight="1"/>
    <row r="645" ht="19.45" customHeight="1"/>
    <row r="646" ht="19.45" customHeight="1"/>
    <row r="647" ht="19.45" customHeight="1"/>
    <row r="648" ht="19.45" customHeight="1"/>
    <row r="649" ht="19.45" customHeight="1"/>
    <row r="650" ht="19.45" customHeight="1"/>
    <row r="651" ht="19.45" customHeight="1"/>
    <row r="652" ht="19.45" customHeight="1"/>
    <row r="653" ht="19.45" customHeight="1"/>
    <row r="654" ht="19.45" customHeight="1"/>
    <row r="655" ht="19.45" customHeight="1"/>
    <row r="656" ht="19.45" customHeight="1"/>
    <row r="657" ht="19.45" customHeight="1"/>
    <row r="658" ht="19.45" customHeight="1"/>
    <row r="659" ht="19.45" customHeight="1"/>
    <row r="660" ht="19.45" customHeight="1"/>
    <row r="661" ht="19.45" customHeight="1"/>
    <row r="662" ht="19.45" customHeight="1"/>
    <row r="663" ht="19.45" customHeight="1"/>
    <row r="664" ht="19.45" customHeight="1"/>
    <row r="665" ht="19.45" customHeight="1"/>
    <row r="666" ht="19.45" customHeight="1"/>
    <row r="667" ht="19.45" customHeight="1"/>
    <row r="668" ht="19.45" customHeight="1"/>
    <row r="669" ht="19.45" customHeight="1"/>
    <row r="670" ht="19.45" customHeight="1"/>
    <row r="671" ht="19.45" customHeight="1"/>
    <row r="672" ht="19.45" customHeight="1"/>
    <row r="673" ht="19.45" customHeight="1"/>
    <row r="674" ht="19.45" customHeight="1"/>
    <row r="675" ht="19.45" customHeight="1"/>
    <row r="676" ht="19.45" customHeight="1"/>
    <row r="677" ht="19.45" customHeight="1"/>
    <row r="678" ht="19.45" customHeight="1"/>
    <row r="679" ht="19.45" customHeight="1"/>
    <row r="680" ht="19.45" customHeight="1"/>
    <row r="681" ht="19.45" customHeight="1"/>
    <row r="682" ht="19.45" customHeight="1"/>
    <row r="683" ht="19.45" customHeight="1"/>
    <row r="684" ht="19.45" customHeight="1"/>
    <row r="685" ht="19.45" customHeight="1"/>
    <row r="686" ht="19.45" customHeight="1"/>
    <row r="687" ht="19.45" customHeight="1"/>
    <row r="688" ht="19.45" customHeight="1"/>
    <row r="689" ht="19.45" customHeight="1"/>
    <row r="690" ht="19.45" customHeight="1"/>
    <row r="691" ht="19.45" customHeight="1"/>
    <row r="692" ht="19.45" customHeight="1"/>
    <row r="693" ht="19.45" customHeight="1"/>
    <row r="694" ht="19.45" customHeight="1"/>
    <row r="695" ht="19.45" customHeight="1"/>
    <row r="696" ht="19.45" customHeight="1"/>
    <row r="697" ht="19.45" customHeight="1"/>
    <row r="698" ht="19.45" customHeight="1"/>
    <row r="699" ht="19.45" customHeight="1"/>
    <row r="700" ht="19.45" customHeight="1"/>
    <row r="701" ht="19.45" customHeight="1"/>
    <row r="702" ht="19.45" customHeight="1"/>
    <row r="703" ht="19.45" customHeight="1"/>
    <row r="704" ht="19.45" customHeight="1"/>
    <row r="705" ht="19.45" customHeight="1"/>
    <row r="706" ht="19.45" customHeight="1"/>
    <row r="707" ht="19.45" customHeight="1"/>
    <row r="708" ht="19.45" customHeight="1"/>
    <row r="709" ht="19.45" customHeight="1"/>
    <row r="710" ht="19.45" customHeight="1"/>
    <row r="711" ht="19.45" customHeight="1"/>
    <row r="712" ht="19.45" customHeight="1"/>
    <row r="713" ht="19.45" customHeight="1"/>
    <row r="714" ht="19.45" customHeight="1"/>
    <row r="715" ht="19.45" customHeight="1"/>
    <row r="716" ht="19.45" customHeight="1"/>
    <row r="717" ht="19.45" customHeight="1"/>
    <row r="718" ht="19.45" customHeight="1"/>
    <row r="719" ht="19.45" customHeight="1"/>
    <row r="720" ht="19.45" customHeight="1"/>
    <row r="721" ht="19.45" customHeight="1"/>
    <row r="722" ht="19.45" customHeight="1"/>
    <row r="723" ht="19.45" customHeight="1"/>
    <row r="724" ht="19.45" customHeight="1"/>
    <row r="725" ht="19.45" customHeight="1"/>
    <row r="726" ht="19.45" customHeight="1"/>
    <row r="727" ht="19.45" customHeight="1"/>
    <row r="728" ht="19.45" customHeight="1"/>
    <row r="729" ht="19.45" customHeight="1"/>
    <row r="730" ht="19.45" customHeight="1"/>
    <row r="731" ht="19.45" customHeight="1"/>
    <row r="732" ht="19.45" customHeight="1"/>
    <row r="733" ht="19.45" customHeight="1"/>
    <row r="734" ht="19.45" customHeight="1"/>
    <row r="735" ht="19.45" customHeight="1"/>
    <row r="736" ht="19.45" customHeight="1"/>
    <row r="737" ht="19.45" customHeight="1"/>
    <row r="738" ht="19.45" customHeight="1"/>
    <row r="739" ht="19.45" customHeight="1"/>
    <row r="740" ht="19.45" customHeight="1"/>
    <row r="741" ht="19.45" customHeight="1"/>
    <row r="742" ht="19.45" customHeight="1"/>
    <row r="743" ht="19.45" customHeight="1"/>
    <row r="744" ht="19.45" customHeight="1"/>
    <row r="745" ht="19.45" customHeight="1"/>
    <row r="746" ht="19.45" customHeight="1"/>
    <row r="747" ht="19.45" customHeight="1"/>
    <row r="748" ht="19.45" customHeight="1"/>
    <row r="749" ht="19.45" customHeight="1"/>
    <row r="750" ht="19.45" customHeight="1"/>
    <row r="751" ht="19.45" customHeight="1"/>
    <row r="752" ht="19.45" customHeight="1"/>
    <row r="753" ht="19.45" customHeight="1"/>
    <row r="754" ht="19.45" customHeight="1"/>
    <row r="755" ht="19.45" customHeight="1"/>
    <row r="756" ht="19.45" customHeight="1"/>
    <row r="757" ht="19.45" customHeight="1"/>
    <row r="758" ht="19.45" customHeight="1"/>
    <row r="759" ht="19.45" customHeight="1"/>
    <row r="760" ht="19.45" customHeight="1"/>
    <row r="761" ht="19.45" customHeight="1"/>
    <row r="762" ht="19.45" customHeight="1"/>
    <row r="763" ht="19.45" customHeight="1"/>
    <row r="764" ht="19.45" customHeight="1"/>
    <row r="765" ht="19.45" customHeight="1"/>
    <row r="766" ht="19.45" customHeight="1"/>
    <row r="767" ht="19.45" customHeight="1"/>
    <row r="768" ht="19.45" customHeight="1"/>
    <row r="769" ht="19.45" customHeight="1"/>
    <row r="770" ht="19.45" customHeight="1"/>
    <row r="771" ht="19.45" customHeight="1"/>
    <row r="772" ht="19.45" customHeight="1"/>
    <row r="773" ht="19.45" customHeight="1"/>
    <row r="774" ht="19.45" customHeight="1"/>
    <row r="775" ht="19.45" customHeight="1"/>
    <row r="776" ht="19.45" customHeight="1"/>
    <row r="777" ht="19.45" customHeight="1"/>
    <row r="778" ht="19.45" customHeight="1"/>
    <row r="779" ht="19.45" customHeight="1"/>
    <row r="780" ht="19.45" customHeight="1"/>
    <row r="781" ht="19.45" customHeight="1"/>
    <row r="782" ht="19.45" customHeight="1"/>
    <row r="783" ht="19.45" customHeight="1"/>
    <row r="784" ht="19.45" customHeight="1"/>
    <row r="785" ht="19.45" customHeight="1"/>
    <row r="786" ht="19.45" customHeight="1"/>
    <row r="787" ht="19.45" customHeight="1"/>
    <row r="788" ht="19.45" customHeight="1"/>
    <row r="789" ht="19.45" customHeight="1"/>
    <row r="790" ht="19.45" customHeight="1"/>
    <row r="791" ht="19.45" customHeight="1"/>
    <row r="792" ht="19.45" customHeight="1"/>
    <row r="793" ht="19.45" customHeight="1"/>
    <row r="794" ht="19.45" customHeight="1"/>
    <row r="795" ht="19.45" customHeight="1"/>
    <row r="796" ht="19.45" customHeight="1"/>
    <row r="797" ht="19.45" customHeight="1"/>
    <row r="798" ht="19.45" customHeight="1"/>
    <row r="799" ht="19.45" customHeight="1"/>
    <row r="800" ht="19.45" customHeight="1"/>
    <row r="801" ht="19.45" customHeight="1"/>
    <row r="802" ht="19.45" customHeight="1"/>
    <row r="803" ht="19.45" customHeight="1"/>
    <row r="804" ht="19.45" customHeight="1"/>
    <row r="805" ht="19.45" customHeight="1"/>
    <row r="806" ht="19.45" customHeight="1"/>
    <row r="807" ht="19.45" customHeight="1"/>
    <row r="808" ht="19.45" customHeight="1"/>
    <row r="809" ht="19.45" customHeight="1"/>
    <row r="810" ht="19.45" customHeight="1"/>
    <row r="811" ht="19.45" customHeight="1"/>
    <row r="812" ht="19.45" customHeight="1"/>
    <row r="813" ht="19.45" customHeight="1"/>
    <row r="814" ht="19.45" customHeight="1"/>
    <row r="815" ht="19.45" customHeight="1"/>
    <row r="816" ht="19.45" customHeight="1"/>
    <row r="817" ht="19.45" customHeight="1"/>
    <row r="818" ht="19.45" customHeight="1"/>
    <row r="819" ht="19.45" customHeight="1"/>
    <row r="820" ht="19.45" customHeight="1"/>
    <row r="821" ht="19.45" customHeight="1"/>
    <row r="822" ht="19.45" customHeight="1"/>
    <row r="823" ht="19.45" customHeight="1"/>
    <row r="824" ht="19.45" customHeight="1"/>
    <row r="825" ht="19.45" customHeight="1"/>
    <row r="826" ht="19.45" customHeight="1"/>
    <row r="827" ht="19.45" customHeight="1"/>
    <row r="828" ht="19.45" customHeight="1"/>
    <row r="829" ht="19.45" customHeight="1"/>
    <row r="830" ht="19.45" customHeight="1"/>
    <row r="831" ht="19.45" customHeight="1"/>
    <row r="832" ht="19.45" customHeight="1"/>
    <row r="833" ht="19.45" customHeight="1"/>
    <row r="834" ht="19.45" customHeight="1"/>
    <row r="835" ht="19.45" customHeight="1"/>
    <row r="836" ht="19.45" customHeight="1"/>
    <row r="837" ht="19.45" customHeight="1"/>
    <row r="838" ht="19.45" customHeight="1"/>
    <row r="839" ht="19.45" customHeight="1"/>
    <row r="840" ht="19.45" customHeight="1"/>
    <row r="841" ht="19.45" customHeight="1"/>
    <row r="842" ht="19.45" customHeight="1"/>
    <row r="843" ht="19.45" customHeight="1"/>
    <row r="844" ht="19.45" customHeight="1"/>
    <row r="845" ht="19.45" customHeight="1"/>
    <row r="846" ht="19.45" customHeight="1"/>
    <row r="847" ht="19.45" customHeight="1"/>
    <row r="848" ht="19.45" customHeight="1"/>
    <row r="849" ht="19.45" customHeight="1"/>
    <row r="850" ht="19.45" customHeight="1"/>
    <row r="851" ht="19.45" customHeight="1"/>
    <row r="852" ht="19.45" customHeight="1"/>
    <row r="853" ht="19.45" customHeight="1"/>
    <row r="854" ht="19.45" customHeight="1"/>
    <row r="855" ht="19.45" customHeight="1"/>
    <row r="856" ht="19.45" customHeight="1"/>
    <row r="857" ht="19.45" customHeight="1"/>
    <row r="858" ht="19.45" customHeight="1"/>
    <row r="859" ht="19.45" customHeight="1"/>
    <row r="860" ht="19.45" customHeight="1"/>
    <row r="861" ht="19.45" customHeight="1"/>
    <row r="862" ht="19.45" customHeight="1"/>
    <row r="863" ht="19.45" customHeight="1"/>
    <row r="864" ht="19.45" customHeight="1"/>
    <row r="865" ht="19.45" customHeight="1"/>
    <row r="866" ht="19.45" customHeight="1"/>
    <row r="867" ht="19.45" customHeight="1"/>
    <row r="868" ht="19.45" customHeight="1"/>
    <row r="869" ht="19.45" customHeight="1"/>
    <row r="870" ht="19.45" customHeight="1"/>
    <row r="871" ht="19.45" customHeight="1"/>
    <row r="872" ht="19.45" customHeight="1"/>
    <row r="873" ht="19.45" customHeight="1"/>
    <row r="874" ht="19.45" customHeight="1"/>
    <row r="875" ht="19.45" customHeight="1"/>
    <row r="876" ht="19.45" customHeight="1"/>
    <row r="877" ht="19.45" customHeight="1"/>
    <row r="878" ht="19.45" customHeight="1"/>
    <row r="879" ht="19.45" customHeight="1"/>
    <row r="880" ht="19.45" customHeight="1"/>
    <row r="881" ht="19.45" customHeight="1"/>
    <row r="882" ht="19.45" customHeight="1"/>
    <row r="883" ht="19.45" customHeight="1"/>
    <row r="884" ht="19.45" customHeight="1"/>
    <row r="885" ht="19.45" customHeight="1"/>
    <row r="886" ht="19.45" customHeight="1"/>
    <row r="887" ht="19.45" customHeight="1"/>
    <row r="888" ht="19.45" customHeight="1"/>
    <row r="889" ht="19.45" customHeight="1"/>
    <row r="890" ht="19.45" customHeight="1"/>
    <row r="891" ht="19.45" customHeight="1"/>
    <row r="892" ht="19.45" customHeight="1"/>
    <row r="893" ht="19.45" customHeight="1"/>
    <row r="894" ht="19.45" customHeight="1"/>
    <row r="895" ht="19.45" customHeight="1"/>
    <row r="896" ht="19.45" customHeight="1"/>
    <row r="897" ht="19.45" customHeight="1"/>
    <row r="898" ht="19.45" customHeight="1"/>
    <row r="899" ht="19.45" customHeight="1"/>
    <row r="900" ht="19.45" customHeight="1"/>
    <row r="901" ht="19.45" customHeight="1"/>
    <row r="902" ht="19.45" customHeight="1"/>
    <row r="903" ht="19.45" customHeight="1"/>
    <row r="904" ht="19.45" customHeight="1"/>
    <row r="905" ht="19.45" customHeight="1"/>
    <row r="906" ht="19.45" customHeight="1"/>
    <row r="907" ht="19.45" customHeight="1"/>
    <row r="908" ht="19.45" customHeight="1"/>
    <row r="909" ht="19.45" customHeight="1"/>
    <row r="910" ht="19.45" customHeight="1"/>
    <row r="911" ht="19.45" customHeight="1"/>
    <row r="912" ht="19.45" customHeight="1"/>
    <row r="913" ht="19.45" customHeight="1"/>
    <row r="914" ht="19.45" customHeight="1"/>
    <row r="915" ht="19.45" customHeight="1"/>
    <row r="916" ht="19.45" customHeight="1"/>
    <row r="917" ht="19.45" customHeight="1"/>
    <row r="918" ht="19.45" customHeight="1"/>
    <row r="919" ht="19.45" customHeight="1"/>
    <row r="920" ht="19.45" customHeight="1"/>
    <row r="921" ht="19.45" customHeight="1"/>
    <row r="922" ht="19.45" customHeight="1"/>
    <row r="923" ht="19.45" customHeight="1"/>
    <row r="924" ht="19.45" customHeight="1"/>
    <row r="925" ht="19.45" customHeight="1"/>
    <row r="926" ht="19.45" customHeight="1"/>
    <row r="927" ht="19.45" customHeight="1"/>
    <row r="928" ht="19.45" customHeight="1"/>
    <row r="929" ht="19.45" customHeight="1"/>
    <row r="930" ht="19.45" customHeight="1"/>
    <row r="931" ht="19.45" customHeight="1"/>
    <row r="932" ht="19.45" customHeight="1"/>
    <row r="933" ht="19.45" customHeight="1"/>
    <row r="934" ht="19.45" customHeight="1"/>
    <row r="935" ht="19.45" customHeight="1"/>
    <row r="936" ht="19.45" customHeight="1"/>
    <row r="937" ht="19.45" customHeight="1"/>
    <row r="938" ht="19.45" customHeight="1"/>
    <row r="939" ht="19.45" customHeight="1"/>
    <row r="940" ht="19.45" customHeight="1"/>
    <row r="941" ht="19.45" customHeight="1"/>
    <row r="942" ht="19.45" customHeight="1"/>
    <row r="943" ht="19.45" customHeight="1"/>
    <row r="944" ht="19.45" customHeight="1"/>
    <row r="945" ht="19.45" customHeight="1"/>
    <row r="946" ht="19.45" customHeight="1"/>
    <row r="947" ht="19.45" customHeight="1"/>
    <row r="948" ht="19.45" customHeight="1"/>
    <row r="949" ht="19.45" customHeight="1"/>
    <row r="950" ht="19.45" customHeight="1"/>
    <row r="951" ht="19.45" customHeight="1"/>
    <row r="952" ht="19.45" customHeight="1"/>
    <row r="953" ht="19.45" customHeight="1"/>
    <row r="954" ht="19.45" customHeight="1"/>
    <row r="955" ht="19.45" customHeight="1"/>
    <row r="956" ht="19.45" customHeight="1"/>
    <row r="957" ht="19.45" customHeight="1"/>
    <row r="958" ht="19.45" customHeight="1"/>
    <row r="959" ht="19.45" customHeight="1"/>
    <row r="960" ht="19.45" customHeight="1"/>
    <row r="961" ht="19.45" customHeight="1"/>
    <row r="962" ht="19.45" customHeight="1"/>
    <row r="963" ht="19.45" customHeight="1"/>
    <row r="964" ht="19.45" customHeight="1"/>
    <row r="965" ht="19.45" customHeight="1"/>
    <row r="966" ht="19.45" customHeight="1"/>
    <row r="967" ht="19.45" customHeight="1"/>
    <row r="968" ht="19.45" customHeight="1"/>
    <row r="969" ht="19.45" customHeight="1"/>
    <row r="970" ht="19.45" customHeight="1"/>
    <row r="971" ht="19.45" customHeight="1"/>
    <row r="972" ht="19.45" customHeight="1"/>
    <row r="973" ht="19.45" customHeight="1"/>
    <row r="974" ht="19.45" customHeight="1"/>
    <row r="975" ht="19.45" customHeight="1"/>
    <row r="976" ht="19.45" customHeight="1"/>
    <row r="977" ht="19.45" customHeight="1"/>
    <row r="978" ht="19.45" customHeight="1"/>
    <row r="979" ht="19.45" customHeight="1"/>
    <row r="980" ht="19.45" customHeight="1"/>
    <row r="981" ht="19.45" customHeight="1"/>
    <row r="982" ht="19.45" customHeight="1"/>
    <row r="983" ht="19.45" customHeight="1"/>
    <row r="984" ht="19.45" customHeight="1"/>
    <row r="985" ht="19.45" customHeight="1"/>
    <row r="986" ht="19.45" customHeight="1"/>
    <row r="987" ht="19.45" customHeight="1"/>
    <row r="988" ht="19.45" customHeight="1"/>
    <row r="989" ht="19.45" customHeight="1"/>
    <row r="990" ht="19.45" customHeight="1"/>
    <row r="991" ht="19.45" customHeight="1"/>
    <row r="992" ht="19.45" customHeight="1"/>
    <row r="993" ht="19.45" customHeight="1"/>
    <row r="994" ht="19.45" customHeight="1"/>
    <row r="995" ht="19.45" customHeight="1"/>
    <row r="996" ht="19.45" customHeight="1"/>
    <row r="997" ht="19.45" customHeight="1"/>
    <row r="998" ht="19.45" customHeight="1"/>
    <row r="999" ht="19.45" customHeight="1"/>
    <row r="1000" ht="19.4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הגדרות</vt:lpstr>
      <vt:lpstr>הוצאות</vt:lpstr>
      <vt:lpstr>גיול</vt:lpstr>
      <vt:lpstr>הוצאותמסודר</vt:lpstr>
      <vt:lpstr>תזרים</vt:lpstr>
      <vt:lpstr>סיכום</vt:lpstr>
      <vt:lpstr>רשימות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עידן נחום</cp:lastModifiedBy>
  <dcterms:modified xsi:type="dcterms:W3CDTF">2026-03-18T17:55:59Z</dcterms:modified>
</cp:coreProperties>
</file>